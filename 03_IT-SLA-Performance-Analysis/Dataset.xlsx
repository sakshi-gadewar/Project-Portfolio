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drawings/drawing2.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166925"/>
  <mc:AlternateContent xmlns:mc="http://schemas.openxmlformats.org/markup-compatibility/2006">
    <mc:Choice Requires="x15">
      <x15ac:absPath xmlns:x15ac="http://schemas.microsoft.com/office/spreadsheetml/2010/11/ac" url="C:\Users\HP\Downloads\IT SLA Dashboard\"/>
    </mc:Choice>
  </mc:AlternateContent>
  <xr:revisionPtr revIDLastSave="0" documentId="13_ncr:1_{DF7AEC4F-F21A-4F25-B023-F6DA1C210DFC}" xr6:coauthVersionLast="47" xr6:coauthVersionMax="47" xr10:uidLastSave="{00000000-0000-0000-0000-000000000000}"/>
  <bookViews>
    <workbookView xWindow="-108" yWindow="-108" windowWidth="23256" windowHeight="12456" firstSheet="1" activeTab="2" xr2:uid="{ACEF32F7-8BB4-417C-96E3-C442EA1B97BB}"/>
  </bookViews>
  <sheets>
    <sheet name="Pivot Table" sheetId="7" r:id="rId1"/>
    <sheet name="SLA Tracker" sheetId="2" r:id="rId2"/>
    <sheet name="Dashboard" sheetId="8" r:id="rId3"/>
  </sheets>
  <definedNames>
    <definedName name="ExternalData_1" localSheetId="1" hidden="1">'SLA Tracker'!$A$1:$I$1127</definedName>
    <definedName name="Slicer_Month">#N/A</definedName>
    <definedName name="Slicer_Priority">#N/A</definedName>
    <definedName name="Slicer_Region">#N/A</definedName>
    <definedName name="Slicer_Request_Typ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26" i="7" l="1"/>
  <c r="C25" i="7"/>
  <c r="C24" i="7"/>
  <c r="AW9" i="7"/>
  <c r="AW10" i="7"/>
  <c r="AW11" i="7"/>
  <c r="AW12" i="7"/>
  <c r="AW13" i="7"/>
  <c r="AW14" i="7"/>
  <c r="AW15" i="7"/>
  <c r="AW16" i="7"/>
  <c r="AW17" i="7"/>
  <c r="AW18" i="7"/>
  <c r="AW19" i="7"/>
  <c r="AW20" i="7"/>
  <c r="AW21" i="7"/>
  <c r="AW22" i="7"/>
  <c r="AW8" i="7"/>
  <c r="AN8" i="7"/>
  <c r="AM8" i="7" s="1"/>
  <c r="AN9" i="7"/>
  <c r="AM9" i="7" s="1"/>
  <c r="AN10" i="7"/>
  <c r="AM10" i="7" s="1"/>
  <c r="AN11" i="7"/>
  <c r="AM11" i="7" s="1"/>
  <c r="AN7" i="7"/>
  <c r="AM7" i="7" s="1"/>
  <c r="AG8" i="7"/>
  <c r="AG9" i="7"/>
  <c r="AG7" i="7"/>
  <c r="AF9" i="7"/>
  <c r="AF8" i="7"/>
  <c r="AF7" i="7"/>
  <c r="X8" i="7"/>
  <c r="X9" i="7"/>
  <c r="X10" i="7"/>
  <c r="X11" i="7"/>
  <c r="X12" i="7"/>
  <c r="X13" i="7"/>
  <c r="J2" i="7"/>
  <c r="I3" i="7"/>
  <c r="I4" i="7" s="1"/>
  <c r="J9" i="7"/>
  <c r="J10" i="7"/>
  <c r="J11" i="7"/>
  <c r="J12" i="7"/>
  <c r="J13" i="7"/>
  <c r="J14" i="7"/>
  <c r="J15" i="7"/>
  <c r="J16" i="7"/>
  <c r="J17" i="7"/>
  <c r="J18" i="7"/>
  <c r="J19" i="7"/>
  <c r="J8" i="7"/>
  <c r="L3" i="2"/>
  <c r="K2" i="2"/>
  <c r="K3" i="2"/>
  <c r="K4" i="2"/>
  <c r="K5" i="2"/>
  <c r="K6" i="2"/>
  <c r="K7" i="2"/>
  <c r="K8" i="2"/>
  <c r="K9" i="2"/>
  <c r="K10" i="2"/>
  <c r="K11" i="2"/>
  <c r="K12" i="2"/>
  <c r="K13" i="2"/>
  <c r="K14" i="2"/>
  <c r="K15" i="2"/>
  <c r="K16" i="2"/>
  <c r="K17" i="2"/>
  <c r="K18" i="2"/>
  <c r="K19" i="2"/>
  <c r="K20" i="2"/>
  <c r="K21" i="2"/>
  <c r="K22" i="2"/>
  <c r="K23" i="2"/>
  <c r="K24" i="2"/>
  <c r="K25" i="2"/>
  <c r="K26" i="2"/>
  <c r="K27" i="2"/>
  <c r="K28" i="2"/>
  <c r="K29" i="2"/>
  <c r="K30" i="2"/>
  <c r="K31" i="2"/>
  <c r="K32" i="2"/>
  <c r="K33" i="2"/>
  <c r="K34" i="2"/>
  <c r="K35" i="2"/>
  <c r="K36" i="2"/>
  <c r="K37" i="2"/>
  <c r="K38" i="2"/>
  <c r="K39" i="2"/>
  <c r="K40" i="2"/>
  <c r="K41" i="2"/>
  <c r="K42" i="2"/>
  <c r="K43" i="2"/>
  <c r="K44" i="2"/>
  <c r="K45" i="2"/>
  <c r="K46" i="2"/>
  <c r="K47" i="2"/>
  <c r="K48" i="2"/>
  <c r="K49" i="2"/>
  <c r="K50" i="2"/>
  <c r="K51" i="2"/>
  <c r="K52" i="2"/>
  <c r="K53" i="2"/>
  <c r="K54" i="2"/>
  <c r="K55" i="2"/>
  <c r="K56" i="2"/>
  <c r="K57" i="2"/>
  <c r="K58" i="2"/>
  <c r="K59" i="2"/>
  <c r="K60" i="2"/>
  <c r="K61" i="2"/>
  <c r="K62" i="2"/>
  <c r="K63" i="2"/>
  <c r="K64" i="2"/>
  <c r="K65" i="2"/>
  <c r="K66" i="2"/>
  <c r="K67" i="2"/>
  <c r="K68" i="2"/>
  <c r="K69" i="2"/>
  <c r="K70" i="2"/>
  <c r="K71" i="2"/>
  <c r="K72" i="2"/>
  <c r="K73" i="2"/>
  <c r="K74" i="2"/>
  <c r="K75" i="2"/>
  <c r="K76" i="2"/>
  <c r="K77" i="2"/>
  <c r="K78" i="2"/>
  <c r="K79" i="2"/>
  <c r="K80" i="2"/>
  <c r="K81" i="2"/>
  <c r="K82" i="2"/>
  <c r="K83" i="2"/>
  <c r="K84" i="2"/>
  <c r="K85" i="2"/>
  <c r="K86" i="2"/>
  <c r="K87" i="2"/>
  <c r="K88" i="2"/>
  <c r="K89" i="2"/>
  <c r="K90" i="2"/>
  <c r="K91" i="2"/>
  <c r="K92" i="2"/>
  <c r="K93" i="2"/>
  <c r="K94" i="2"/>
  <c r="K95" i="2"/>
  <c r="K96" i="2"/>
  <c r="K97" i="2"/>
  <c r="K98" i="2"/>
  <c r="K99" i="2"/>
  <c r="K100" i="2"/>
  <c r="K101" i="2"/>
  <c r="K102" i="2"/>
  <c r="K103" i="2"/>
  <c r="K104" i="2"/>
  <c r="K105" i="2"/>
  <c r="K106" i="2"/>
  <c r="K107" i="2"/>
  <c r="K108" i="2"/>
  <c r="K109" i="2"/>
  <c r="K110" i="2"/>
  <c r="K111" i="2"/>
  <c r="K112" i="2"/>
  <c r="K113" i="2"/>
  <c r="K114" i="2"/>
  <c r="K115" i="2"/>
  <c r="K116" i="2"/>
  <c r="K117" i="2"/>
  <c r="K118" i="2"/>
  <c r="K119" i="2"/>
  <c r="K120" i="2"/>
  <c r="K121" i="2"/>
  <c r="K122" i="2"/>
  <c r="K123" i="2"/>
  <c r="K124" i="2"/>
  <c r="K125" i="2"/>
  <c r="K126" i="2"/>
  <c r="K127" i="2"/>
  <c r="K128" i="2"/>
  <c r="K129" i="2"/>
  <c r="K130" i="2"/>
  <c r="K131" i="2"/>
  <c r="K132" i="2"/>
  <c r="K133" i="2"/>
  <c r="K134" i="2"/>
  <c r="K135" i="2"/>
  <c r="K136" i="2"/>
  <c r="K137" i="2"/>
  <c r="K138" i="2"/>
  <c r="K139" i="2"/>
  <c r="K140" i="2"/>
  <c r="K141" i="2"/>
  <c r="K142" i="2"/>
  <c r="K143" i="2"/>
  <c r="K144" i="2"/>
  <c r="K145" i="2"/>
  <c r="K146" i="2"/>
  <c r="K147" i="2"/>
  <c r="K148" i="2"/>
  <c r="K149" i="2"/>
  <c r="K150" i="2"/>
  <c r="K151" i="2"/>
  <c r="K152" i="2"/>
  <c r="K153" i="2"/>
  <c r="K154" i="2"/>
  <c r="K155" i="2"/>
  <c r="K156" i="2"/>
  <c r="K157" i="2"/>
  <c r="K158" i="2"/>
  <c r="K159" i="2"/>
  <c r="K160" i="2"/>
  <c r="K161" i="2"/>
  <c r="K162" i="2"/>
  <c r="K163" i="2"/>
  <c r="K164" i="2"/>
  <c r="K165" i="2"/>
  <c r="K166" i="2"/>
  <c r="K167" i="2"/>
  <c r="K168" i="2"/>
  <c r="K169" i="2"/>
  <c r="K170" i="2"/>
  <c r="K171" i="2"/>
  <c r="K172" i="2"/>
  <c r="K173" i="2"/>
  <c r="K174" i="2"/>
  <c r="K175" i="2"/>
  <c r="K176" i="2"/>
  <c r="K177" i="2"/>
  <c r="K178" i="2"/>
  <c r="K179" i="2"/>
  <c r="K180" i="2"/>
  <c r="K181" i="2"/>
  <c r="K182" i="2"/>
  <c r="K183" i="2"/>
  <c r="K184" i="2"/>
  <c r="K185" i="2"/>
  <c r="K186" i="2"/>
  <c r="K187" i="2"/>
  <c r="K188" i="2"/>
  <c r="K189" i="2"/>
  <c r="K190" i="2"/>
  <c r="K191" i="2"/>
  <c r="K192" i="2"/>
  <c r="K193" i="2"/>
  <c r="K194" i="2"/>
  <c r="K195" i="2"/>
  <c r="K196" i="2"/>
  <c r="K197" i="2"/>
  <c r="K198" i="2"/>
  <c r="K199" i="2"/>
  <c r="K200" i="2"/>
  <c r="K201" i="2"/>
  <c r="K202" i="2"/>
  <c r="K203" i="2"/>
  <c r="K204" i="2"/>
  <c r="K205" i="2"/>
  <c r="K206" i="2"/>
  <c r="K207" i="2"/>
  <c r="K208" i="2"/>
  <c r="K209" i="2"/>
  <c r="K210" i="2"/>
  <c r="K211" i="2"/>
  <c r="K212" i="2"/>
  <c r="K213" i="2"/>
  <c r="K214" i="2"/>
  <c r="K215" i="2"/>
  <c r="K216" i="2"/>
  <c r="K217" i="2"/>
  <c r="K218" i="2"/>
  <c r="K219" i="2"/>
  <c r="K220" i="2"/>
  <c r="K221" i="2"/>
  <c r="K222" i="2"/>
  <c r="K223" i="2"/>
  <c r="K224" i="2"/>
  <c r="K225" i="2"/>
  <c r="K226" i="2"/>
  <c r="K227" i="2"/>
  <c r="K228" i="2"/>
  <c r="K229" i="2"/>
  <c r="K230" i="2"/>
  <c r="K231" i="2"/>
  <c r="K232" i="2"/>
  <c r="K233" i="2"/>
  <c r="K234" i="2"/>
  <c r="K235" i="2"/>
  <c r="K236" i="2"/>
  <c r="K237" i="2"/>
  <c r="K238" i="2"/>
  <c r="K239" i="2"/>
  <c r="K240" i="2"/>
  <c r="K241" i="2"/>
  <c r="K242" i="2"/>
  <c r="K243" i="2"/>
  <c r="K244" i="2"/>
  <c r="K245" i="2"/>
  <c r="K246" i="2"/>
  <c r="K247" i="2"/>
  <c r="K248" i="2"/>
  <c r="K249" i="2"/>
  <c r="K250" i="2"/>
  <c r="K251" i="2"/>
  <c r="K252" i="2"/>
  <c r="K253" i="2"/>
  <c r="K254" i="2"/>
  <c r="K255" i="2"/>
  <c r="K256" i="2"/>
  <c r="K257" i="2"/>
  <c r="K258" i="2"/>
  <c r="K259" i="2"/>
  <c r="K260" i="2"/>
  <c r="K261" i="2"/>
  <c r="K262" i="2"/>
  <c r="K263" i="2"/>
  <c r="K264" i="2"/>
  <c r="K265" i="2"/>
  <c r="K266" i="2"/>
  <c r="K267" i="2"/>
  <c r="K268" i="2"/>
  <c r="K269" i="2"/>
  <c r="K270" i="2"/>
  <c r="K271" i="2"/>
  <c r="K272" i="2"/>
  <c r="K273" i="2"/>
  <c r="K274" i="2"/>
  <c r="K275" i="2"/>
  <c r="K276" i="2"/>
  <c r="K277" i="2"/>
  <c r="K278" i="2"/>
  <c r="K279" i="2"/>
  <c r="K280" i="2"/>
  <c r="K281" i="2"/>
  <c r="K282" i="2"/>
  <c r="K283" i="2"/>
  <c r="K284" i="2"/>
  <c r="K285" i="2"/>
  <c r="K286" i="2"/>
  <c r="K287" i="2"/>
  <c r="K288" i="2"/>
  <c r="K289" i="2"/>
  <c r="K290" i="2"/>
  <c r="K291" i="2"/>
  <c r="K292" i="2"/>
  <c r="K293" i="2"/>
  <c r="K294" i="2"/>
  <c r="K295" i="2"/>
  <c r="K296" i="2"/>
  <c r="K297" i="2"/>
  <c r="K298" i="2"/>
  <c r="K299" i="2"/>
  <c r="K300" i="2"/>
  <c r="K301" i="2"/>
  <c r="K302" i="2"/>
  <c r="K303" i="2"/>
  <c r="K304" i="2"/>
  <c r="K305" i="2"/>
  <c r="K306" i="2"/>
  <c r="K307" i="2"/>
  <c r="K308" i="2"/>
  <c r="K309" i="2"/>
  <c r="K310" i="2"/>
  <c r="K311" i="2"/>
  <c r="K312" i="2"/>
  <c r="K313" i="2"/>
  <c r="K314" i="2"/>
  <c r="K315" i="2"/>
  <c r="K316" i="2"/>
  <c r="K317" i="2"/>
  <c r="K318" i="2"/>
  <c r="K319" i="2"/>
  <c r="K320" i="2"/>
  <c r="K321" i="2"/>
  <c r="K322" i="2"/>
  <c r="K323" i="2"/>
  <c r="K324" i="2"/>
  <c r="K325" i="2"/>
  <c r="K326" i="2"/>
  <c r="K327" i="2"/>
  <c r="K328" i="2"/>
  <c r="K329" i="2"/>
  <c r="K330" i="2"/>
  <c r="K331" i="2"/>
  <c r="K332" i="2"/>
  <c r="K333" i="2"/>
  <c r="K334" i="2"/>
  <c r="K335" i="2"/>
  <c r="K336" i="2"/>
  <c r="K337" i="2"/>
  <c r="K338" i="2"/>
  <c r="K339" i="2"/>
  <c r="K340" i="2"/>
  <c r="K341" i="2"/>
  <c r="K342" i="2"/>
  <c r="K343" i="2"/>
  <c r="K344" i="2"/>
  <c r="K345" i="2"/>
  <c r="K346" i="2"/>
  <c r="K347" i="2"/>
  <c r="K348" i="2"/>
  <c r="K349" i="2"/>
  <c r="K350" i="2"/>
  <c r="K351" i="2"/>
  <c r="K352" i="2"/>
  <c r="K353" i="2"/>
  <c r="K354" i="2"/>
  <c r="K355" i="2"/>
  <c r="K356" i="2"/>
  <c r="K357" i="2"/>
  <c r="K358" i="2"/>
  <c r="K359" i="2"/>
  <c r="K360" i="2"/>
  <c r="K361" i="2"/>
  <c r="K362" i="2"/>
  <c r="K363" i="2"/>
  <c r="K364" i="2"/>
  <c r="K365" i="2"/>
  <c r="K366" i="2"/>
  <c r="K367" i="2"/>
  <c r="K368" i="2"/>
  <c r="K369" i="2"/>
  <c r="K370" i="2"/>
  <c r="K371" i="2"/>
  <c r="K372" i="2"/>
  <c r="K373" i="2"/>
  <c r="K374" i="2"/>
  <c r="K375" i="2"/>
  <c r="K376" i="2"/>
  <c r="K377" i="2"/>
  <c r="K378" i="2"/>
  <c r="K379" i="2"/>
  <c r="K380" i="2"/>
  <c r="K381" i="2"/>
  <c r="K382" i="2"/>
  <c r="K383" i="2"/>
  <c r="K384" i="2"/>
  <c r="K385" i="2"/>
  <c r="K386" i="2"/>
  <c r="K387" i="2"/>
  <c r="K388" i="2"/>
  <c r="K389" i="2"/>
  <c r="K390" i="2"/>
  <c r="K391" i="2"/>
  <c r="K392" i="2"/>
  <c r="K393" i="2"/>
  <c r="K394" i="2"/>
  <c r="K395" i="2"/>
  <c r="K396" i="2"/>
  <c r="K397" i="2"/>
  <c r="K398" i="2"/>
  <c r="K399" i="2"/>
  <c r="K400" i="2"/>
  <c r="K401" i="2"/>
  <c r="K402" i="2"/>
  <c r="K403" i="2"/>
  <c r="K404" i="2"/>
  <c r="K405" i="2"/>
  <c r="K406" i="2"/>
  <c r="K407" i="2"/>
  <c r="K408" i="2"/>
  <c r="K409" i="2"/>
  <c r="K410" i="2"/>
  <c r="K411" i="2"/>
  <c r="K412" i="2"/>
  <c r="K413" i="2"/>
  <c r="K414" i="2"/>
  <c r="K415" i="2"/>
  <c r="K416" i="2"/>
  <c r="K417" i="2"/>
  <c r="K418" i="2"/>
  <c r="K419" i="2"/>
  <c r="K420" i="2"/>
  <c r="K421" i="2"/>
  <c r="K422" i="2"/>
  <c r="K423" i="2"/>
  <c r="K424" i="2"/>
  <c r="K425" i="2"/>
  <c r="K426" i="2"/>
  <c r="K427" i="2"/>
  <c r="K428" i="2"/>
  <c r="K429" i="2"/>
  <c r="K430" i="2"/>
  <c r="K431" i="2"/>
  <c r="K432" i="2"/>
  <c r="K433" i="2"/>
  <c r="K434" i="2"/>
  <c r="K435" i="2"/>
  <c r="K436" i="2"/>
  <c r="K437" i="2"/>
  <c r="K438" i="2"/>
  <c r="K439" i="2"/>
  <c r="K440" i="2"/>
  <c r="K441" i="2"/>
  <c r="K442" i="2"/>
  <c r="K443" i="2"/>
  <c r="K444" i="2"/>
  <c r="K445" i="2"/>
  <c r="K446" i="2"/>
  <c r="K447" i="2"/>
  <c r="K448" i="2"/>
  <c r="K449" i="2"/>
  <c r="K450" i="2"/>
  <c r="K451" i="2"/>
  <c r="K452" i="2"/>
  <c r="K453" i="2"/>
  <c r="K454" i="2"/>
  <c r="K455" i="2"/>
  <c r="K456" i="2"/>
  <c r="K457" i="2"/>
  <c r="K458" i="2"/>
  <c r="K459" i="2"/>
  <c r="K460" i="2"/>
  <c r="K461" i="2"/>
  <c r="K462" i="2"/>
  <c r="K463" i="2"/>
  <c r="K464" i="2"/>
  <c r="K465" i="2"/>
  <c r="K466" i="2"/>
  <c r="K467" i="2"/>
  <c r="K468" i="2"/>
  <c r="K469" i="2"/>
  <c r="K470" i="2"/>
  <c r="K471" i="2"/>
  <c r="K472" i="2"/>
  <c r="K473" i="2"/>
  <c r="K474" i="2"/>
  <c r="K475" i="2"/>
  <c r="K476" i="2"/>
  <c r="K477" i="2"/>
  <c r="K478" i="2"/>
  <c r="K479" i="2"/>
  <c r="K480" i="2"/>
  <c r="K481" i="2"/>
  <c r="K482" i="2"/>
  <c r="K483" i="2"/>
  <c r="K484" i="2"/>
  <c r="K485" i="2"/>
  <c r="K486" i="2"/>
  <c r="K487" i="2"/>
  <c r="K488" i="2"/>
  <c r="K489" i="2"/>
  <c r="K490" i="2"/>
  <c r="K491" i="2"/>
  <c r="K492" i="2"/>
  <c r="K493" i="2"/>
  <c r="K494" i="2"/>
  <c r="K495" i="2"/>
  <c r="K496" i="2"/>
  <c r="K497" i="2"/>
  <c r="K498" i="2"/>
  <c r="K499" i="2"/>
  <c r="K500" i="2"/>
  <c r="K501" i="2"/>
  <c r="K502" i="2"/>
  <c r="K503" i="2"/>
  <c r="K504" i="2"/>
  <c r="K505" i="2"/>
  <c r="K506" i="2"/>
  <c r="K507" i="2"/>
  <c r="K508" i="2"/>
  <c r="K509" i="2"/>
  <c r="K510" i="2"/>
  <c r="K511" i="2"/>
  <c r="K512" i="2"/>
  <c r="K513" i="2"/>
  <c r="K514" i="2"/>
  <c r="K515" i="2"/>
  <c r="K516" i="2"/>
  <c r="K517" i="2"/>
  <c r="K518" i="2"/>
  <c r="K519" i="2"/>
  <c r="K520" i="2"/>
  <c r="K521" i="2"/>
  <c r="K522" i="2"/>
  <c r="K523" i="2"/>
  <c r="K524" i="2"/>
  <c r="K525" i="2"/>
  <c r="K526" i="2"/>
  <c r="K527" i="2"/>
  <c r="K528" i="2"/>
  <c r="K529" i="2"/>
  <c r="K530" i="2"/>
  <c r="K531" i="2"/>
  <c r="K532" i="2"/>
  <c r="K533" i="2"/>
  <c r="K534" i="2"/>
  <c r="K535" i="2"/>
  <c r="K536" i="2"/>
  <c r="K537" i="2"/>
  <c r="K538" i="2"/>
  <c r="K539" i="2"/>
  <c r="K540" i="2"/>
  <c r="K541" i="2"/>
  <c r="K542" i="2"/>
  <c r="K543" i="2"/>
  <c r="K544" i="2"/>
  <c r="K545" i="2"/>
  <c r="K546" i="2"/>
  <c r="K547" i="2"/>
  <c r="K548" i="2"/>
  <c r="K549" i="2"/>
  <c r="K550" i="2"/>
  <c r="K551" i="2"/>
  <c r="K552" i="2"/>
  <c r="K553" i="2"/>
  <c r="K554" i="2"/>
  <c r="K555" i="2"/>
  <c r="K556" i="2"/>
  <c r="K557" i="2"/>
  <c r="K558" i="2"/>
  <c r="K559" i="2"/>
  <c r="K560" i="2"/>
  <c r="K561" i="2"/>
  <c r="K562" i="2"/>
  <c r="K563" i="2"/>
  <c r="K564" i="2"/>
  <c r="K565" i="2"/>
  <c r="K566" i="2"/>
  <c r="K567" i="2"/>
  <c r="K568" i="2"/>
  <c r="K569" i="2"/>
  <c r="K570" i="2"/>
  <c r="K571" i="2"/>
  <c r="K572" i="2"/>
  <c r="K573" i="2"/>
  <c r="K574" i="2"/>
  <c r="K575" i="2"/>
  <c r="K576" i="2"/>
  <c r="K577" i="2"/>
  <c r="K578" i="2"/>
  <c r="K579" i="2"/>
  <c r="K580" i="2"/>
  <c r="K581" i="2"/>
  <c r="K582" i="2"/>
  <c r="K583" i="2"/>
  <c r="K584" i="2"/>
  <c r="K585" i="2"/>
  <c r="K586" i="2"/>
  <c r="K587" i="2"/>
  <c r="K588" i="2"/>
  <c r="K589" i="2"/>
  <c r="K590" i="2"/>
  <c r="K591" i="2"/>
  <c r="K592" i="2"/>
  <c r="K593" i="2"/>
  <c r="K594" i="2"/>
  <c r="K595" i="2"/>
  <c r="K596" i="2"/>
  <c r="K597" i="2"/>
  <c r="K598" i="2"/>
  <c r="K599" i="2"/>
  <c r="K600" i="2"/>
  <c r="K601" i="2"/>
  <c r="K602" i="2"/>
  <c r="K603" i="2"/>
  <c r="K604" i="2"/>
  <c r="K605" i="2"/>
  <c r="K606" i="2"/>
  <c r="K607" i="2"/>
  <c r="K608" i="2"/>
  <c r="K609" i="2"/>
  <c r="K610" i="2"/>
  <c r="K611" i="2"/>
  <c r="K612" i="2"/>
  <c r="K613" i="2"/>
  <c r="K614" i="2"/>
  <c r="K615" i="2"/>
  <c r="K616" i="2"/>
  <c r="K617" i="2"/>
  <c r="K618" i="2"/>
  <c r="K619" i="2"/>
  <c r="K620" i="2"/>
  <c r="K621" i="2"/>
  <c r="K622" i="2"/>
  <c r="K623" i="2"/>
  <c r="K624" i="2"/>
  <c r="K625" i="2"/>
  <c r="K626" i="2"/>
  <c r="K627" i="2"/>
  <c r="K628" i="2"/>
  <c r="K629" i="2"/>
  <c r="K630" i="2"/>
  <c r="K631" i="2"/>
  <c r="K632" i="2"/>
  <c r="K633" i="2"/>
  <c r="K634" i="2"/>
  <c r="K635" i="2"/>
  <c r="K636" i="2"/>
  <c r="K637" i="2"/>
  <c r="K638" i="2"/>
  <c r="K639" i="2"/>
  <c r="K640" i="2"/>
  <c r="K641" i="2"/>
  <c r="K642" i="2"/>
  <c r="K643" i="2"/>
  <c r="K644" i="2"/>
  <c r="K645" i="2"/>
  <c r="K646" i="2"/>
  <c r="K647" i="2"/>
  <c r="K648" i="2"/>
  <c r="K649" i="2"/>
  <c r="K650" i="2"/>
  <c r="K651" i="2"/>
  <c r="K652" i="2"/>
  <c r="K653" i="2"/>
  <c r="K654" i="2"/>
  <c r="K655" i="2"/>
  <c r="K656" i="2"/>
  <c r="K657" i="2"/>
  <c r="K658" i="2"/>
  <c r="K659" i="2"/>
  <c r="K660" i="2"/>
  <c r="K661" i="2"/>
  <c r="K662" i="2"/>
  <c r="K663" i="2"/>
  <c r="K664" i="2"/>
  <c r="K665" i="2"/>
  <c r="K666" i="2"/>
  <c r="K667" i="2"/>
  <c r="K668" i="2"/>
  <c r="K669" i="2"/>
  <c r="K670" i="2"/>
  <c r="K671" i="2"/>
  <c r="K672" i="2"/>
  <c r="K673" i="2"/>
  <c r="K674" i="2"/>
  <c r="K675" i="2"/>
  <c r="K676" i="2"/>
  <c r="K677" i="2"/>
  <c r="K678" i="2"/>
  <c r="K679" i="2"/>
  <c r="K680" i="2"/>
  <c r="K681" i="2"/>
  <c r="K682" i="2"/>
  <c r="K683" i="2"/>
  <c r="K684" i="2"/>
  <c r="K685" i="2"/>
  <c r="K686" i="2"/>
  <c r="K687" i="2"/>
  <c r="K688" i="2"/>
  <c r="K689" i="2"/>
  <c r="K690" i="2"/>
  <c r="K691" i="2"/>
  <c r="K692" i="2"/>
  <c r="K693" i="2"/>
  <c r="K694" i="2"/>
  <c r="K695" i="2"/>
  <c r="K696" i="2"/>
  <c r="K697" i="2"/>
  <c r="K698" i="2"/>
  <c r="K699" i="2"/>
  <c r="K700" i="2"/>
  <c r="K701" i="2"/>
  <c r="K702" i="2"/>
  <c r="K703" i="2"/>
  <c r="K704" i="2"/>
  <c r="K705" i="2"/>
  <c r="K706" i="2"/>
  <c r="K707" i="2"/>
  <c r="K708" i="2"/>
  <c r="K709" i="2"/>
  <c r="K710" i="2"/>
  <c r="K711" i="2"/>
  <c r="K712" i="2"/>
  <c r="K713" i="2"/>
  <c r="K714" i="2"/>
  <c r="K715" i="2"/>
  <c r="K716" i="2"/>
  <c r="K717" i="2"/>
  <c r="K718" i="2"/>
  <c r="K719" i="2"/>
  <c r="K720" i="2"/>
  <c r="K721" i="2"/>
  <c r="K722" i="2"/>
  <c r="K723" i="2"/>
  <c r="K724" i="2"/>
  <c r="K725" i="2"/>
  <c r="K726" i="2"/>
  <c r="K727" i="2"/>
  <c r="K728" i="2"/>
  <c r="K729" i="2"/>
  <c r="K730" i="2"/>
  <c r="K731" i="2"/>
  <c r="K732" i="2"/>
  <c r="K733" i="2"/>
  <c r="K734" i="2"/>
  <c r="K735" i="2"/>
  <c r="K736" i="2"/>
  <c r="K737" i="2"/>
  <c r="K738" i="2"/>
  <c r="K739" i="2"/>
  <c r="K740" i="2"/>
  <c r="K741" i="2"/>
  <c r="K742" i="2"/>
  <c r="K743" i="2"/>
  <c r="K744" i="2"/>
  <c r="K745" i="2"/>
  <c r="K746" i="2"/>
  <c r="K747" i="2"/>
  <c r="K748" i="2"/>
  <c r="K749" i="2"/>
  <c r="K750" i="2"/>
  <c r="K751" i="2"/>
  <c r="K752" i="2"/>
  <c r="K753" i="2"/>
  <c r="K754" i="2"/>
  <c r="K755" i="2"/>
  <c r="K756" i="2"/>
  <c r="K757" i="2"/>
  <c r="K758" i="2"/>
  <c r="K759" i="2"/>
  <c r="K760" i="2"/>
  <c r="K761" i="2"/>
  <c r="K762" i="2"/>
  <c r="K763" i="2"/>
  <c r="K764" i="2"/>
  <c r="K765" i="2"/>
  <c r="K766" i="2"/>
  <c r="K767" i="2"/>
  <c r="K768" i="2"/>
  <c r="K769" i="2"/>
  <c r="K770" i="2"/>
  <c r="K771" i="2"/>
  <c r="K772" i="2"/>
  <c r="K773" i="2"/>
  <c r="K774" i="2"/>
  <c r="K775" i="2"/>
  <c r="K776" i="2"/>
  <c r="K777" i="2"/>
  <c r="K778" i="2"/>
  <c r="K779" i="2"/>
  <c r="K780" i="2"/>
  <c r="K781" i="2"/>
  <c r="K782" i="2"/>
  <c r="K783" i="2"/>
  <c r="K784" i="2"/>
  <c r="K785" i="2"/>
  <c r="K786" i="2"/>
  <c r="K787" i="2"/>
  <c r="K788" i="2"/>
  <c r="K789" i="2"/>
  <c r="K790" i="2"/>
  <c r="K791" i="2"/>
  <c r="K792" i="2"/>
  <c r="K793" i="2"/>
  <c r="K794" i="2"/>
  <c r="K795" i="2"/>
  <c r="K796" i="2"/>
  <c r="K797" i="2"/>
  <c r="K798" i="2"/>
  <c r="K799" i="2"/>
  <c r="K800" i="2"/>
  <c r="K801" i="2"/>
  <c r="K802" i="2"/>
  <c r="K803" i="2"/>
  <c r="K804" i="2"/>
  <c r="K805" i="2"/>
  <c r="K806" i="2"/>
  <c r="K807" i="2"/>
  <c r="K808" i="2"/>
  <c r="K809" i="2"/>
  <c r="K810" i="2"/>
  <c r="K811" i="2"/>
  <c r="K812" i="2"/>
  <c r="K813" i="2"/>
  <c r="K814" i="2"/>
  <c r="K815" i="2"/>
  <c r="K816" i="2"/>
  <c r="K817" i="2"/>
  <c r="K818" i="2"/>
  <c r="K819" i="2"/>
  <c r="K820" i="2"/>
  <c r="K821" i="2"/>
  <c r="K822" i="2"/>
  <c r="K823" i="2"/>
  <c r="K824" i="2"/>
  <c r="K825" i="2"/>
  <c r="K826" i="2"/>
  <c r="K827" i="2"/>
  <c r="K828" i="2"/>
  <c r="K829" i="2"/>
  <c r="K830" i="2"/>
  <c r="K831" i="2"/>
  <c r="K832" i="2"/>
  <c r="K833" i="2"/>
  <c r="K834" i="2"/>
  <c r="K835" i="2"/>
  <c r="K836" i="2"/>
  <c r="K837" i="2"/>
  <c r="K838" i="2"/>
  <c r="K839" i="2"/>
  <c r="K840" i="2"/>
  <c r="K841" i="2"/>
  <c r="K842" i="2"/>
  <c r="K843" i="2"/>
  <c r="K844" i="2"/>
  <c r="K845" i="2"/>
  <c r="K846" i="2"/>
  <c r="K847" i="2"/>
  <c r="K848" i="2"/>
  <c r="K849" i="2"/>
  <c r="K850" i="2"/>
  <c r="K851" i="2"/>
  <c r="K852" i="2"/>
  <c r="K853" i="2"/>
  <c r="K854" i="2"/>
  <c r="K855" i="2"/>
  <c r="K856" i="2"/>
  <c r="K857" i="2"/>
  <c r="K858" i="2"/>
  <c r="K859" i="2"/>
  <c r="K860" i="2"/>
  <c r="K861" i="2"/>
  <c r="K862" i="2"/>
  <c r="K863" i="2"/>
  <c r="K864" i="2"/>
  <c r="K865" i="2"/>
  <c r="K866" i="2"/>
  <c r="K867" i="2"/>
  <c r="K868" i="2"/>
  <c r="K869" i="2"/>
  <c r="K870" i="2"/>
  <c r="K871" i="2"/>
  <c r="K872" i="2"/>
  <c r="K873" i="2"/>
  <c r="K874" i="2"/>
  <c r="K875" i="2"/>
  <c r="K876" i="2"/>
  <c r="K877" i="2"/>
  <c r="K878" i="2"/>
  <c r="K879" i="2"/>
  <c r="K880" i="2"/>
  <c r="K881" i="2"/>
  <c r="K882" i="2"/>
  <c r="K883" i="2"/>
  <c r="K884" i="2"/>
  <c r="K885" i="2"/>
  <c r="K886" i="2"/>
  <c r="K887" i="2"/>
  <c r="K888" i="2"/>
  <c r="K889" i="2"/>
  <c r="K890" i="2"/>
  <c r="K891" i="2"/>
  <c r="K892" i="2"/>
  <c r="K893" i="2"/>
  <c r="K894" i="2"/>
  <c r="K895" i="2"/>
  <c r="K896" i="2"/>
  <c r="K897" i="2"/>
  <c r="K898" i="2"/>
  <c r="K899" i="2"/>
  <c r="K900" i="2"/>
  <c r="K901" i="2"/>
  <c r="K902" i="2"/>
  <c r="K903" i="2"/>
  <c r="K904" i="2"/>
  <c r="K905" i="2"/>
  <c r="K906" i="2"/>
  <c r="K907" i="2"/>
  <c r="K908" i="2"/>
  <c r="K909" i="2"/>
  <c r="K910" i="2"/>
  <c r="K911" i="2"/>
  <c r="K912" i="2"/>
  <c r="K913" i="2"/>
  <c r="K914" i="2"/>
  <c r="K915" i="2"/>
  <c r="K916" i="2"/>
  <c r="K917" i="2"/>
  <c r="K918" i="2"/>
  <c r="K919" i="2"/>
  <c r="K920" i="2"/>
  <c r="K921" i="2"/>
  <c r="K922" i="2"/>
  <c r="K923" i="2"/>
  <c r="K924" i="2"/>
  <c r="K925" i="2"/>
  <c r="K926" i="2"/>
  <c r="K927" i="2"/>
  <c r="K928" i="2"/>
  <c r="K929" i="2"/>
  <c r="K930" i="2"/>
  <c r="K931" i="2"/>
  <c r="K932" i="2"/>
  <c r="K933" i="2"/>
  <c r="K934" i="2"/>
  <c r="K935" i="2"/>
  <c r="K936" i="2"/>
  <c r="K937" i="2"/>
  <c r="K938" i="2"/>
  <c r="K939" i="2"/>
  <c r="K940" i="2"/>
  <c r="K941" i="2"/>
  <c r="K942" i="2"/>
  <c r="K943" i="2"/>
  <c r="K944" i="2"/>
  <c r="K945" i="2"/>
  <c r="K946" i="2"/>
  <c r="K947" i="2"/>
  <c r="K948" i="2"/>
  <c r="K949" i="2"/>
  <c r="K950" i="2"/>
  <c r="K951" i="2"/>
  <c r="K952" i="2"/>
  <c r="K953" i="2"/>
  <c r="K954" i="2"/>
  <c r="K955" i="2"/>
  <c r="K956" i="2"/>
  <c r="K957" i="2"/>
  <c r="K958" i="2"/>
  <c r="K959" i="2"/>
  <c r="K960" i="2"/>
  <c r="K961" i="2"/>
  <c r="K962" i="2"/>
  <c r="K963" i="2"/>
  <c r="K964" i="2"/>
  <c r="K965" i="2"/>
  <c r="K966" i="2"/>
  <c r="K967" i="2"/>
  <c r="K968" i="2"/>
  <c r="K969" i="2"/>
  <c r="K970" i="2"/>
  <c r="K971" i="2"/>
  <c r="K972" i="2"/>
  <c r="K973" i="2"/>
  <c r="K974" i="2"/>
  <c r="K975" i="2"/>
  <c r="K976" i="2"/>
  <c r="K977" i="2"/>
  <c r="K978" i="2"/>
  <c r="K979" i="2"/>
  <c r="K980" i="2"/>
  <c r="K981" i="2"/>
  <c r="K982" i="2"/>
  <c r="K983" i="2"/>
  <c r="K984" i="2"/>
  <c r="K985" i="2"/>
  <c r="K986" i="2"/>
  <c r="K987" i="2"/>
  <c r="K988" i="2"/>
  <c r="K989" i="2"/>
  <c r="K990" i="2"/>
  <c r="K991" i="2"/>
  <c r="K992" i="2"/>
  <c r="K993" i="2"/>
  <c r="K994" i="2"/>
  <c r="K995" i="2"/>
  <c r="K996" i="2"/>
  <c r="K997" i="2"/>
  <c r="K998" i="2"/>
  <c r="K999" i="2"/>
  <c r="K1000" i="2"/>
  <c r="K1001" i="2"/>
  <c r="K1002" i="2"/>
  <c r="K1003" i="2"/>
  <c r="K1004" i="2"/>
  <c r="K1005" i="2"/>
  <c r="K1006" i="2"/>
  <c r="K1007" i="2"/>
  <c r="K1008" i="2"/>
  <c r="K1009" i="2"/>
  <c r="K1010" i="2"/>
  <c r="K1011" i="2"/>
  <c r="K1012" i="2"/>
  <c r="K1013" i="2"/>
  <c r="K1014" i="2"/>
  <c r="K1015" i="2"/>
  <c r="K1016" i="2"/>
  <c r="K1017" i="2"/>
  <c r="K1018" i="2"/>
  <c r="K1019" i="2"/>
  <c r="K1020" i="2"/>
  <c r="K1021" i="2"/>
  <c r="K1022" i="2"/>
  <c r="K1023" i="2"/>
  <c r="K1024" i="2"/>
  <c r="K1025" i="2"/>
  <c r="K1026" i="2"/>
  <c r="K1027" i="2"/>
  <c r="K1028" i="2"/>
  <c r="K1029" i="2"/>
  <c r="K1030" i="2"/>
  <c r="K1031" i="2"/>
  <c r="K1032" i="2"/>
  <c r="K1033" i="2"/>
  <c r="K1034" i="2"/>
  <c r="K1035" i="2"/>
  <c r="K1036" i="2"/>
  <c r="K1037" i="2"/>
  <c r="K1038" i="2"/>
  <c r="K1039" i="2"/>
  <c r="K1040" i="2"/>
  <c r="K1041" i="2"/>
  <c r="K1042" i="2"/>
  <c r="K1043" i="2"/>
  <c r="K1044" i="2"/>
  <c r="K1045" i="2"/>
  <c r="K1046" i="2"/>
  <c r="K1047" i="2"/>
  <c r="K1048" i="2"/>
  <c r="K1049" i="2"/>
  <c r="K1050" i="2"/>
  <c r="K1051" i="2"/>
  <c r="K1052" i="2"/>
  <c r="K1053" i="2"/>
  <c r="K1054" i="2"/>
  <c r="K1055" i="2"/>
  <c r="K1056" i="2"/>
  <c r="K1057" i="2"/>
  <c r="K1058" i="2"/>
  <c r="K1059" i="2"/>
  <c r="K1060" i="2"/>
  <c r="K1061" i="2"/>
  <c r="K1062" i="2"/>
  <c r="K1063" i="2"/>
  <c r="K1064" i="2"/>
  <c r="K1065" i="2"/>
  <c r="K1066" i="2"/>
  <c r="K1067" i="2"/>
  <c r="K1068" i="2"/>
  <c r="K1069" i="2"/>
  <c r="K1070" i="2"/>
  <c r="K1071" i="2"/>
  <c r="K1072" i="2"/>
  <c r="K1073" i="2"/>
  <c r="K1074" i="2"/>
  <c r="K1075" i="2"/>
  <c r="K1076" i="2"/>
  <c r="K1077" i="2"/>
  <c r="K1078" i="2"/>
  <c r="K1079" i="2"/>
  <c r="K1080" i="2"/>
  <c r="K1081" i="2"/>
  <c r="K1082" i="2"/>
  <c r="K1083" i="2"/>
  <c r="K1084" i="2"/>
  <c r="K1085" i="2"/>
  <c r="K1086" i="2"/>
  <c r="K1087" i="2"/>
  <c r="K1088" i="2"/>
  <c r="K1089" i="2"/>
  <c r="K1090" i="2"/>
  <c r="K1091" i="2"/>
  <c r="K1092" i="2"/>
  <c r="K1093" i="2"/>
  <c r="K1094" i="2"/>
  <c r="K1095" i="2"/>
  <c r="K1096" i="2"/>
  <c r="K1097" i="2"/>
  <c r="K1098" i="2"/>
  <c r="K1099" i="2"/>
  <c r="K1100" i="2"/>
  <c r="K1101" i="2"/>
  <c r="K1102" i="2"/>
  <c r="K1103" i="2"/>
  <c r="K1104" i="2"/>
  <c r="K1105" i="2"/>
  <c r="K1106" i="2"/>
  <c r="K1107" i="2"/>
  <c r="K1108" i="2"/>
  <c r="K1109" i="2"/>
  <c r="K1110" i="2"/>
  <c r="K1111" i="2"/>
  <c r="K1112" i="2"/>
  <c r="K1113" i="2"/>
  <c r="K1114" i="2"/>
  <c r="K1115" i="2"/>
  <c r="K1116" i="2"/>
  <c r="K1117" i="2"/>
  <c r="K1118" i="2"/>
  <c r="K1119" i="2"/>
  <c r="K1120" i="2"/>
  <c r="K1121" i="2"/>
  <c r="K1122" i="2"/>
  <c r="K1123" i="2"/>
  <c r="K1124" i="2"/>
  <c r="K1125" i="2"/>
  <c r="K1126" i="2"/>
  <c r="K1127" i="2"/>
  <c r="L2" i="2"/>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1002" i="2"/>
  <c r="L1003" i="2"/>
  <c r="L1004" i="2"/>
  <c r="L1005" i="2"/>
  <c r="L1006" i="2"/>
  <c r="L1007" i="2"/>
  <c r="L1008" i="2"/>
  <c r="L1009" i="2"/>
  <c r="L1010" i="2"/>
  <c r="L1011" i="2"/>
  <c r="L1012" i="2"/>
  <c r="L1013" i="2"/>
  <c r="L1014" i="2"/>
  <c r="L1015" i="2"/>
  <c r="L1016" i="2"/>
  <c r="L1017" i="2"/>
  <c r="L1018" i="2"/>
  <c r="L1019" i="2"/>
  <c r="L1020" i="2"/>
  <c r="L1021" i="2"/>
  <c r="L1022" i="2"/>
  <c r="L1023" i="2"/>
  <c r="L1024" i="2"/>
  <c r="L1025" i="2"/>
  <c r="L1026" i="2"/>
  <c r="L1027" i="2"/>
  <c r="L1028" i="2"/>
  <c r="L1029" i="2"/>
  <c r="L1030" i="2"/>
  <c r="L1031" i="2"/>
  <c r="L1032" i="2"/>
  <c r="L1033" i="2"/>
  <c r="L1034" i="2"/>
  <c r="L1035" i="2"/>
  <c r="L1036" i="2"/>
  <c r="L1037" i="2"/>
  <c r="L1038" i="2"/>
  <c r="L1039" i="2"/>
  <c r="L1040" i="2"/>
  <c r="L1041" i="2"/>
  <c r="L1042" i="2"/>
  <c r="L1043" i="2"/>
  <c r="L1044" i="2"/>
  <c r="L1045" i="2"/>
  <c r="L1046" i="2"/>
  <c r="L1047" i="2"/>
  <c r="L1048" i="2"/>
  <c r="L1049" i="2"/>
  <c r="L1050" i="2"/>
  <c r="L1051" i="2"/>
  <c r="L1052" i="2"/>
  <c r="L1053" i="2"/>
  <c r="L1054" i="2"/>
  <c r="L1055" i="2"/>
  <c r="L1056" i="2"/>
  <c r="L1057" i="2"/>
  <c r="L1058" i="2"/>
  <c r="L1059" i="2"/>
  <c r="L1060" i="2"/>
  <c r="L1061" i="2"/>
  <c r="L1062" i="2"/>
  <c r="L1063" i="2"/>
  <c r="L1064" i="2"/>
  <c r="L1065" i="2"/>
  <c r="L1066" i="2"/>
  <c r="L1067" i="2"/>
  <c r="L1068" i="2"/>
  <c r="L1069" i="2"/>
  <c r="L1070" i="2"/>
  <c r="L1071" i="2"/>
  <c r="L1072" i="2"/>
  <c r="L1073" i="2"/>
  <c r="L1074" i="2"/>
  <c r="L1075" i="2"/>
  <c r="L1076" i="2"/>
  <c r="L1077" i="2"/>
  <c r="L1078" i="2"/>
  <c r="L1079" i="2"/>
  <c r="L1080" i="2"/>
  <c r="L1081" i="2"/>
  <c r="L1082" i="2"/>
  <c r="L1083" i="2"/>
  <c r="L1084" i="2"/>
  <c r="L1085" i="2"/>
  <c r="L1086" i="2"/>
  <c r="L1087" i="2"/>
  <c r="L1088" i="2"/>
  <c r="L1089" i="2"/>
  <c r="L1090" i="2"/>
  <c r="L1091" i="2"/>
  <c r="L1092" i="2"/>
  <c r="L1093" i="2"/>
  <c r="L1094" i="2"/>
  <c r="L1095" i="2"/>
  <c r="L1096" i="2"/>
  <c r="L1097" i="2"/>
  <c r="L1098" i="2"/>
  <c r="L1099" i="2"/>
  <c r="L1100" i="2"/>
  <c r="L1101" i="2"/>
  <c r="L1102" i="2"/>
  <c r="L1103" i="2"/>
  <c r="L1104" i="2"/>
  <c r="L1105" i="2"/>
  <c r="L1106" i="2"/>
  <c r="L1107" i="2"/>
  <c r="L1108" i="2"/>
  <c r="L1109" i="2"/>
  <c r="L1110" i="2"/>
  <c r="L1111" i="2"/>
  <c r="L1112" i="2"/>
  <c r="L1113" i="2"/>
  <c r="L1114" i="2"/>
  <c r="L1115" i="2"/>
  <c r="L1116" i="2"/>
  <c r="L1117" i="2"/>
  <c r="L1118" i="2"/>
  <c r="L1119" i="2"/>
  <c r="L1120" i="2"/>
  <c r="L1121" i="2"/>
  <c r="L1122" i="2"/>
  <c r="L1123" i="2"/>
  <c r="L1124" i="2"/>
  <c r="L1125" i="2"/>
  <c r="L1126" i="2"/>
  <c r="L1127" i="2"/>
  <c r="J2" i="2"/>
  <c r="J3" i="2"/>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J926" i="2"/>
  <c r="J927" i="2"/>
  <c r="J928" i="2"/>
  <c r="J929" i="2"/>
  <c r="J930" i="2"/>
  <c r="J931" i="2"/>
  <c r="J932" i="2"/>
  <c r="J933" i="2"/>
  <c r="J934" i="2"/>
  <c r="J935" i="2"/>
  <c r="J936" i="2"/>
  <c r="J937" i="2"/>
  <c r="J938" i="2"/>
  <c r="J939" i="2"/>
  <c r="J940" i="2"/>
  <c r="J941" i="2"/>
  <c r="J942" i="2"/>
  <c r="J943" i="2"/>
  <c r="J944" i="2"/>
  <c r="J945" i="2"/>
  <c r="J946" i="2"/>
  <c r="J947" i="2"/>
  <c r="J948" i="2"/>
  <c r="J949" i="2"/>
  <c r="J950" i="2"/>
  <c r="J951" i="2"/>
  <c r="J952" i="2"/>
  <c r="J953" i="2"/>
  <c r="J954" i="2"/>
  <c r="J955" i="2"/>
  <c r="J956" i="2"/>
  <c r="J957" i="2"/>
  <c r="J958" i="2"/>
  <c r="J959" i="2"/>
  <c r="J960" i="2"/>
  <c r="J961" i="2"/>
  <c r="J962" i="2"/>
  <c r="J963" i="2"/>
  <c r="J964" i="2"/>
  <c r="J965" i="2"/>
  <c r="J966" i="2"/>
  <c r="J967" i="2"/>
  <c r="J968" i="2"/>
  <c r="J969" i="2"/>
  <c r="J970" i="2"/>
  <c r="J971" i="2"/>
  <c r="J972" i="2"/>
  <c r="J973" i="2"/>
  <c r="J974" i="2"/>
  <c r="J975" i="2"/>
  <c r="J976" i="2"/>
  <c r="J977" i="2"/>
  <c r="J978" i="2"/>
  <c r="J979" i="2"/>
  <c r="J980" i="2"/>
  <c r="J981" i="2"/>
  <c r="J982" i="2"/>
  <c r="J983" i="2"/>
  <c r="J984" i="2"/>
  <c r="J985" i="2"/>
  <c r="J986" i="2"/>
  <c r="J987" i="2"/>
  <c r="J988" i="2"/>
  <c r="J989" i="2"/>
  <c r="J990" i="2"/>
  <c r="J991" i="2"/>
  <c r="J992" i="2"/>
  <c r="J993" i="2"/>
  <c r="J994" i="2"/>
  <c r="J995" i="2"/>
  <c r="J996" i="2"/>
  <c r="J997" i="2"/>
  <c r="J998" i="2"/>
  <c r="J999" i="2"/>
  <c r="J1000" i="2"/>
  <c r="J1001" i="2"/>
  <c r="J1002" i="2"/>
  <c r="J1003" i="2"/>
  <c r="J1004" i="2"/>
  <c r="J1005" i="2"/>
  <c r="J1006" i="2"/>
  <c r="J1007" i="2"/>
  <c r="J1008" i="2"/>
  <c r="J1009" i="2"/>
  <c r="J1010" i="2"/>
  <c r="J1011" i="2"/>
  <c r="J1012" i="2"/>
  <c r="J1013" i="2"/>
  <c r="J1014" i="2"/>
  <c r="J1015" i="2"/>
  <c r="J1016" i="2"/>
  <c r="J1017" i="2"/>
  <c r="J1018" i="2"/>
  <c r="J1019" i="2"/>
  <c r="J1020" i="2"/>
  <c r="J1021" i="2"/>
  <c r="J1022" i="2"/>
  <c r="J1023" i="2"/>
  <c r="J1024" i="2"/>
  <c r="J1025" i="2"/>
  <c r="J1026" i="2"/>
  <c r="J1027" i="2"/>
  <c r="J1028" i="2"/>
  <c r="J1029" i="2"/>
  <c r="J1030" i="2"/>
  <c r="J1031" i="2"/>
  <c r="J1032" i="2"/>
  <c r="J1033" i="2"/>
  <c r="J1034" i="2"/>
  <c r="J1035" i="2"/>
  <c r="J1036" i="2"/>
  <c r="J1037" i="2"/>
  <c r="J1038" i="2"/>
  <c r="J1039" i="2"/>
  <c r="J1040" i="2"/>
  <c r="J1041" i="2"/>
  <c r="J1042" i="2"/>
  <c r="J1043" i="2"/>
  <c r="J1044" i="2"/>
  <c r="J1045" i="2"/>
  <c r="J1046" i="2"/>
  <c r="J1047" i="2"/>
  <c r="J1048" i="2"/>
  <c r="J1049" i="2"/>
  <c r="J1050" i="2"/>
  <c r="J1051" i="2"/>
  <c r="J1052" i="2"/>
  <c r="J1053" i="2"/>
  <c r="J1054" i="2"/>
  <c r="J1055" i="2"/>
  <c r="J1056" i="2"/>
  <c r="J1057" i="2"/>
  <c r="J1058" i="2"/>
  <c r="J1059" i="2"/>
  <c r="J1060" i="2"/>
  <c r="J1061" i="2"/>
  <c r="J1062" i="2"/>
  <c r="J1063" i="2"/>
  <c r="J1064" i="2"/>
  <c r="J1065" i="2"/>
  <c r="J1066" i="2"/>
  <c r="J1067" i="2"/>
  <c r="J1068" i="2"/>
  <c r="J1069" i="2"/>
  <c r="J1070" i="2"/>
  <c r="J1071" i="2"/>
  <c r="J1072" i="2"/>
  <c r="J1073" i="2"/>
  <c r="J1074" i="2"/>
  <c r="J1075" i="2"/>
  <c r="J1076" i="2"/>
  <c r="J1077" i="2"/>
  <c r="J1078" i="2"/>
  <c r="J1079" i="2"/>
  <c r="J1080" i="2"/>
  <c r="J1081" i="2"/>
  <c r="J1082" i="2"/>
  <c r="J1083" i="2"/>
  <c r="J1084" i="2"/>
  <c r="J1085" i="2"/>
  <c r="J1086" i="2"/>
  <c r="J1087" i="2"/>
  <c r="J1088" i="2"/>
  <c r="J1089" i="2"/>
  <c r="J1090" i="2"/>
  <c r="J1091" i="2"/>
  <c r="J1092" i="2"/>
  <c r="J1093" i="2"/>
  <c r="J1094" i="2"/>
  <c r="J1095" i="2"/>
  <c r="J1096" i="2"/>
  <c r="J1097" i="2"/>
  <c r="J1098" i="2"/>
  <c r="J1099" i="2"/>
  <c r="J1100" i="2"/>
  <c r="J1101" i="2"/>
  <c r="J1102" i="2"/>
  <c r="J1103" i="2"/>
  <c r="J1104" i="2"/>
  <c r="J1105" i="2"/>
  <c r="J1106" i="2"/>
  <c r="J1107" i="2"/>
  <c r="J1108" i="2"/>
  <c r="J1109" i="2"/>
  <c r="J1110" i="2"/>
  <c r="J1111" i="2"/>
  <c r="J1112" i="2"/>
  <c r="J1113" i="2"/>
  <c r="J1114" i="2"/>
  <c r="J1115" i="2"/>
  <c r="J1116" i="2"/>
  <c r="J1117" i="2"/>
  <c r="J1118" i="2"/>
  <c r="J1119" i="2"/>
  <c r="J1120" i="2"/>
  <c r="J1121" i="2"/>
  <c r="J1122" i="2"/>
  <c r="J1123" i="2"/>
  <c r="J1124" i="2"/>
  <c r="J1125" i="2"/>
  <c r="J1126" i="2"/>
  <c r="J1127" i="2"/>
  <c r="Z8" i="7" l="1"/>
  <c r="Y8" i="7"/>
  <c r="Y9" i="7"/>
  <c r="Z9" i="7"/>
  <c r="Y10" i="7"/>
  <c r="Z10" i="7"/>
  <c r="Y11" i="7"/>
  <c r="Z11" i="7"/>
  <c r="Z12" i="7"/>
  <c r="Y12" i="7"/>
  <c r="Y13" i="7"/>
  <c r="Z13" i="7"/>
  <c r="AX9" i="7"/>
  <c r="AY9" i="7"/>
  <c r="AY10" i="7"/>
  <c r="AX10" i="7"/>
  <c r="AY11" i="7"/>
  <c r="AX11" i="7"/>
  <c r="AX12" i="7"/>
  <c r="AY12" i="7"/>
  <c r="AX13" i="7"/>
  <c r="AY13" i="7"/>
  <c r="AX14" i="7"/>
  <c r="AY14" i="7"/>
  <c r="AX15" i="7"/>
  <c r="AY15" i="7"/>
  <c r="AY16" i="7"/>
  <c r="AX16" i="7"/>
  <c r="AX17" i="7"/>
  <c r="AY17" i="7"/>
  <c r="AX18" i="7"/>
  <c r="AY18" i="7"/>
  <c r="AX19" i="7"/>
  <c r="AY19" i="7"/>
  <c r="AX20" i="7"/>
  <c r="AY20" i="7"/>
  <c r="AX21" i="7"/>
  <c r="AY21" i="7"/>
  <c r="AX22" i="7"/>
  <c r="AY22" i="7"/>
  <c r="AX8" i="7"/>
  <c r="AY8" i="7"/>
  <c r="K9" i="7"/>
  <c r="L9" i="7"/>
  <c r="K10" i="7"/>
  <c r="L10" i="7"/>
  <c r="K11" i="7"/>
  <c r="L11" i="7"/>
  <c r="K12" i="7"/>
  <c r="L12" i="7"/>
  <c r="K13" i="7"/>
  <c r="L13" i="7"/>
  <c r="K14" i="7"/>
  <c r="L14" i="7"/>
  <c r="K15" i="7"/>
  <c r="L15" i="7"/>
  <c r="K16" i="7"/>
  <c r="L16" i="7"/>
  <c r="L17" i="7"/>
  <c r="K17" i="7"/>
  <c r="L18" i="7"/>
  <c r="K18" i="7"/>
  <c r="K19" i="7"/>
  <c r="L19" i="7"/>
  <c r="L8" i="7"/>
  <c r="K8" i="7"/>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4C6D37F-D59F-45BF-999D-38AF062A696C}" keepAlive="1" name="Query - Sheet1" description="Connection to the 'Sheet1' query in the workbook." type="5" refreshedVersion="8" background="1" saveData="1">
    <dbPr connection="Provider=Microsoft.Mashup.OleDb.1;Data Source=$Workbook$;Location=Sheet1;Extended Properties=&quot;&quot;" command="SELECT * FROM [Sheet1]"/>
  </connection>
</connections>
</file>

<file path=xl/sharedStrings.xml><?xml version="1.0" encoding="utf-8"?>
<sst xmlns="http://schemas.openxmlformats.org/spreadsheetml/2006/main" count="8087" uniqueCount="1419">
  <si>
    <t>Ticket ID</t>
  </si>
  <si>
    <t>Region</t>
  </si>
  <si>
    <t>Country</t>
  </si>
  <si>
    <t>Request Type</t>
  </si>
  <si>
    <t>Request Description</t>
  </si>
  <si>
    <t>Priority</t>
  </si>
  <si>
    <t>Assigned To</t>
  </si>
  <si>
    <t>Open Date</t>
  </si>
  <si>
    <t>Close Date</t>
  </si>
  <si>
    <t>Actual Days</t>
  </si>
  <si>
    <t>Status</t>
  </si>
  <si>
    <t>Month</t>
  </si>
  <si>
    <t>T001</t>
  </si>
  <si>
    <t>Asia</t>
  </si>
  <si>
    <t>India</t>
  </si>
  <si>
    <t>Password Reset</t>
  </si>
  <si>
    <t>Reduce discuss specific answer provide.</t>
  </si>
  <si>
    <t>High</t>
  </si>
  <si>
    <t>Robert</t>
  </si>
  <si>
    <t>Met</t>
  </si>
  <si>
    <t>Feb</t>
  </si>
  <si>
    <t>T002</t>
  </si>
  <si>
    <t>Europe</t>
  </si>
  <si>
    <t>Germany</t>
  </si>
  <si>
    <t>Server Downtime</t>
  </si>
  <si>
    <t>Wait result relationship create throughout behind would.</t>
  </si>
  <si>
    <t>Low</t>
  </si>
  <si>
    <t>Alice</t>
  </si>
  <si>
    <t>Jun</t>
  </si>
  <si>
    <t>T003</t>
  </si>
  <si>
    <t>North America</t>
  </si>
  <si>
    <t>USA</t>
  </si>
  <si>
    <t>VPN Access</t>
  </si>
  <si>
    <t>Away only happy quality even we take consider.</t>
  </si>
  <si>
    <t>Nina</t>
  </si>
  <si>
    <t>T004</t>
  </si>
  <si>
    <t>South America</t>
  </si>
  <si>
    <t>Argentina</t>
  </si>
  <si>
    <t>Access Request</t>
  </si>
  <si>
    <t>Claim not expert information really course get politics region human.</t>
  </si>
  <si>
    <t>Medium</t>
  </si>
  <si>
    <t>T005</t>
  </si>
  <si>
    <t>Africa</t>
  </si>
  <si>
    <t>Kenya</t>
  </si>
  <si>
    <t>Top executive lead speak wrong choose decide.</t>
  </si>
  <si>
    <t>Mike</t>
  </si>
  <si>
    <t>Jan</t>
  </si>
  <si>
    <t>T006</t>
  </si>
  <si>
    <t>Home memory would as evening attorney amount.</t>
  </si>
  <si>
    <t>Sarah</t>
  </si>
  <si>
    <t>T007</t>
  </si>
  <si>
    <t>Mexico</t>
  </si>
  <si>
    <t>Teach pick expect on director go wide agent thousand force.</t>
  </si>
  <si>
    <t>Not Met</t>
  </si>
  <si>
    <t>T008</t>
  </si>
  <si>
    <t>Those too car yard early ever only such fall necessary.</t>
  </si>
  <si>
    <t>Apr</t>
  </si>
  <si>
    <t>T009</t>
  </si>
  <si>
    <t>Final military play push make interview few approach professor this.</t>
  </si>
  <si>
    <t>John</t>
  </si>
  <si>
    <t>May</t>
  </si>
  <si>
    <t>T010</t>
  </si>
  <si>
    <t>Chile</t>
  </si>
  <si>
    <t>Source per out arm tax all since seem animal.</t>
  </si>
  <si>
    <t>T011</t>
  </si>
  <si>
    <t>China</t>
  </si>
  <si>
    <t>Third focus consider teacher also.</t>
  </si>
  <si>
    <t>T012</t>
  </si>
  <si>
    <t>Japan</t>
  </si>
  <si>
    <t>Foreign conference data poor I somebody her ok relationship.</t>
  </si>
  <si>
    <t>T013</t>
  </si>
  <si>
    <t>Space customer social organization budget.</t>
  </si>
  <si>
    <t>T014</t>
  </si>
  <si>
    <t>Software Install</t>
  </si>
  <si>
    <t>Point improve road people street laugh conference myself us keep adult.</t>
  </si>
  <si>
    <t>T015</t>
  </si>
  <si>
    <t>Brazil</t>
  </si>
  <si>
    <t>Black guess argue especially perform.</t>
  </si>
  <si>
    <t>T016</t>
  </si>
  <si>
    <t>Miss what plant again ready.</t>
  </si>
  <si>
    <t>T017</t>
  </si>
  <si>
    <t>Mean often miss student coach how whose really everybody.</t>
  </si>
  <si>
    <t>Mar</t>
  </si>
  <si>
    <t>T018</t>
  </si>
  <si>
    <t>UK</t>
  </si>
  <si>
    <t>Fire require economy wear already arrive.</t>
  </si>
  <si>
    <t>T019</t>
  </si>
  <si>
    <t>Printer Issue</t>
  </si>
  <si>
    <t>Draw certainly where several discussion lay.</t>
  </si>
  <si>
    <t>T020</t>
  </si>
  <si>
    <t>Traditional public reduce party guess.</t>
  </si>
  <si>
    <t>T021</t>
  </si>
  <si>
    <t>Lose prove tax thousand son.</t>
  </si>
  <si>
    <t>T022</t>
  </si>
  <si>
    <t>Email Setup</t>
  </si>
  <si>
    <t>Rule company beat station building executive purpose bar choose week.</t>
  </si>
  <si>
    <t>T023</t>
  </si>
  <si>
    <t>Serve radio toward kind fall or prevent protect able.</t>
  </si>
  <si>
    <t>T024</t>
  </si>
  <si>
    <t>Energy upon compare my ahead where matter.</t>
  </si>
  <si>
    <t>T025</t>
  </si>
  <si>
    <t>France</t>
  </si>
  <si>
    <t>Near marriage stuff later option determine.</t>
  </si>
  <si>
    <t>T026</t>
  </si>
  <si>
    <t>Nigeria</t>
  </si>
  <si>
    <t>She community worry improve response result get its fly box.</t>
  </si>
  <si>
    <t>T027</t>
  </si>
  <si>
    <t>South Africa</t>
  </si>
  <si>
    <t>Contain area start each reason.</t>
  </si>
  <si>
    <t>T028</t>
  </si>
  <si>
    <t>Image enough reach her staff everyone minute shake.</t>
  </si>
  <si>
    <t>T029</t>
  </si>
  <si>
    <t>Myself turn message catch use activity president reality age ago consider.</t>
  </si>
  <si>
    <t>T030</t>
  </si>
  <si>
    <t>Usually former stay age both safe.</t>
  </si>
  <si>
    <t>T031</t>
  </si>
  <si>
    <t>Kid almost establish explain record operation.</t>
  </si>
  <si>
    <t>T032</t>
  </si>
  <si>
    <t>Maybe shoulder either tend church ago city.</t>
  </si>
  <si>
    <t>T033</t>
  </si>
  <si>
    <t>Discuss lead miss run paper.</t>
  </si>
  <si>
    <t>T034</t>
  </si>
  <si>
    <t>Well arm exactly action.</t>
  </si>
  <si>
    <t>T035</t>
  </si>
  <si>
    <t>Energy care policy manage political customer tree dinner behavior region.</t>
  </si>
  <si>
    <t>T036</t>
  </si>
  <si>
    <t>Growth enjoy program ground charge parent listen so.</t>
  </si>
  <si>
    <t>T037</t>
  </si>
  <si>
    <t>About guess reality vote task any right.</t>
  </si>
  <si>
    <t>T038</t>
  </si>
  <si>
    <t>Upon again fund yet customer plant job.</t>
  </si>
  <si>
    <t>T039</t>
  </si>
  <si>
    <t>Must leader benefit phone nothing authority civil PM game.</t>
  </si>
  <si>
    <t>T040</t>
  </si>
  <si>
    <t>Husband majority perhaps seven ground strong focus.</t>
  </si>
  <si>
    <t>T041</t>
  </si>
  <si>
    <t>Mention identify meet condition produce agent none authority travel attack.</t>
  </si>
  <si>
    <t>T042</t>
  </si>
  <si>
    <t>Director so decade improve property social.</t>
  </si>
  <si>
    <t>T043</t>
  </si>
  <si>
    <t>Expert fund remain meet view without seven rich.</t>
  </si>
  <si>
    <t>T044</t>
  </si>
  <si>
    <t>Assume whom political according way over other.</t>
  </si>
  <si>
    <t>T045</t>
  </si>
  <si>
    <t>Employee view computer particularly successful.</t>
  </si>
  <si>
    <t>T046</t>
  </si>
  <si>
    <t>Theory type break picture choose son professor.</t>
  </si>
  <si>
    <t>T047</t>
  </si>
  <si>
    <t>Under woman individual baby do.</t>
  </si>
  <si>
    <t>T048</t>
  </si>
  <si>
    <t>Available represent notice subject knowledge.</t>
  </si>
  <si>
    <t>T049</t>
  </si>
  <si>
    <t>View wind small share energy fire arrive.</t>
  </si>
  <si>
    <t>T050</t>
  </si>
  <si>
    <t>College top with especially type how fire station four throughout.</t>
  </si>
  <si>
    <t>T051</t>
  </si>
  <si>
    <t>Network Issue</t>
  </si>
  <si>
    <t>Region career speak figure role someone doctor young itself.</t>
  </si>
  <si>
    <t>T052</t>
  </si>
  <si>
    <t>All page he she decision protect head.</t>
  </si>
  <si>
    <t>T053</t>
  </si>
  <si>
    <t>Canada</t>
  </si>
  <si>
    <t>Week act of piece kitchen technology drive blood.</t>
  </si>
  <si>
    <t>T054</t>
  </si>
  <si>
    <t>Back study similar what paper job church energy.</t>
  </si>
  <si>
    <t>T055</t>
  </si>
  <si>
    <t>Manager PM recent yes example word wide source far.</t>
  </si>
  <si>
    <t>T056</t>
  </si>
  <si>
    <t>Clearly around yeah network top available another save dog.</t>
  </si>
  <si>
    <t>T057</t>
  </si>
  <si>
    <t>Present style baby street board popular onto seven technology.</t>
  </si>
  <si>
    <t>T058</t>
  </si>
  <si>
    <t>Nature something president seven person between board hand myself they.</t>
  </si>
  <si>
    <t>T059</t>
  </si>
  <si>
    <t>Adult either work amount its other theory instead.</t>
  </si>
  <si>
    <t>T060</t>
  </si>
  <si>
    <t>Main model hand attorney mind parent guess or.</t>
  </si>
  <si>
    <t>T061</t>
  </si>
  <si>
    <t>Society front yourself sister data although.</t>
  </si>
  <si>
    <t>T062</t>
  </si>
  <si>
    <t>Put issue window late audience Congress friend available impact.</t>
  </si>
  <si>
    <t>T063</t>
  </si>
  <si>
    <t>Success summer off really public pull.</t>
  </si>
  <si>
    <t>T064</t>
  </si>
  <si>
    <t>Else support number prevent hand church win help.</t>
  </si>
  <si>
    <t>T065</t>
  </si>
  <si>
    <t>Interesting image protect early trip fine manage.</t>
  </si>
  <si>
    <t>T066</t>
  </si>
  <si>
    <t>More foot culture right happen.</t>
  </si>
  <si>
    <t>T067</t>
  </si>
  <si>
    <t>Choice become knowledge once until try media inside.</t>
  </si>
  <si>
    <t>T068</t>
  </si>
  <si>
    <t>Both modern any item small information according full side risk.</t>
  </si>
  <si>
    <t>T069</t>
  </si>
  <si>
    <t>Physical threat purpose these quality key rich.</t>
  </si>
  <si>
    <t>T070</t>
  </si>
  <si>
    <t>Firm during notice investment draw safe wind party.</t>
  </si>
  <si>
    <t>T071</t>
  </si>
  <si>
    <t>Sport look forget feel property less kid.</t>
  </si>
  <si>
    <t>T072</t>
  </si>
  <si>
    <t>Notice age how social camera personal.</t>
  </si>
  <si>
    <t>T073</t>
  </si>
  <si>
    <t>Address individual doctor fine.</t>
  </si>
  <si>
    <t>T074</t>
  </si>
  <si>
    <t>Window international always cause break set suffer thank order.</t>
  </si>
  <si>
    <t>T075</t>
  </si>
  <si>
    <t>Nothing manage nice move action those here.</t>
  </si>
  <si>
    <t>T076</t>
  </si>
  <si>
    <t>Rather end it employee.</t>
  </si>
  <si>
    <t>T077</t>
  </si>
  <si>
    <t>Themselves easy picture third share individual do now.</t>
  </si>
  <si>
    <t>T078</t>
  </si>
  <si>
    <t>Occur dream one late character pressure.</t>
  </si>
  <si>
    <t>T079</t>
  </si>
  <si>
    <t>Simply company choice recently least cover crime.</t>
  </si>
  <si>
    <t>T080</t>
  </si>
  <si>
    <t>Hit they you store.</t>
  </si>
  <si>
    <t>T081</t>
  </si>
  <si>
    <t>Administration opportunity education represent here.</t>
  </si>
  <si>
    <t>T082</t>
  </si>
  <si>
    <t>Reason new discover decide buy free contain any eat make he.</t>
  </si>
  <si>
    <t>T083</t>
  </si>
  <si>
    <t>Such act sort decision lose card history many.</t>
  </si>
  <si>
    <t>T084</t>
  </si>
  <si>
    <t>Coach everybody meet red fire nothing parent like here.</t>
  </si>
  <si>
    <t>T085</t>
  </si>
  <si>
    <t>Operation citizen rich environmental wrong example prepare.</t>
  </si>
  <si>
    <t>T086</t>
  </si>
  <si>
    <t>Rather about give dinner when instead since seven.</t>
  </si>
  <si>
    <t>T087</t>
  </si>
  <si>
    <t>Paper rich particularly country pay.</t>
  </si>
  <si>
    <t>T088</t>
  </si>
  <si>
    <t>Without use peace good apply activity make.</t>
  </si>
  <si>
    <t>T089</t>
  </si>
  <si>
    <t>Change concern factor green store worry well.</t>
  </si>
  <si>
    <t>T090</t>
  </si>
  <si>
    <t>Nature why once number idea owner power wait.</t>
  </si>
  <si>
    <t>T091</t>
  </si>
  <si>
    <t>Treatment clearly teach argue.</t>
  </si>
  <si>
    <t>T092</t>
  </si>
  <si>
    <t>Prepare effect strong sure sister yes.</t>
  </si>
  <si>
    <t>T093</t>
  </si>
  <si>
    <t>The scene employee of area stop them character southern.</t>
  </si>
  <si>
    <t>T094</t>
  </si>
  <si>
    <t>Activity drug agreement western hold himself very.</t>
  </si>
  <si>
    <t>T095</t>
  </si>
  <si>
    <t>Book degree new data night last focus it during into blood.</t>
  </si>
  <si>
    <t>T096</t>
  </si>
  <si>
    <t>Material ok ask attorney end simply image summer oil.</t>
  </si>
  <si>
    <t>T097</t>
  </si>
  <si>
    <t>Against manager reveal you down sing floor finally meeting main.</t>
  </si>
  <si>
    <t>T098</t>
  </si>
  <si>
    <t>Might bit group two court manage particularly meeting station relate.</t>
  </si>
  <si>
    <t>T099</t>
  </si>
  <si>
    <t>Six local itself size commercial.</t>
  </si>
  <si>
    <t>T100</t>
  </si>
  <si>
    <t>Democrat sound pattern how author include design bill poor television.</t>
  </si>
  <si>
    <t>T101</t>
  </si>
  <si>
    <t>Special effort provide interview word fight.</t>
  </si>
  <si>
    <t>T102</t>
  </si>
  <si>
    <t>Church like half activity first chance bad head standard kitchen.</t>
  </si>
  <si>
    <t>T103</t>
  </si>
  <si>
    <t>Entire necessary without front throughout office political.</t>
  </si>
  <si>
    <t>T104</t>
  </si>
  <si>
    <t>Traditional major already husband with follow sign purpose.</t>
  </si>
  <si>
    <t>T105</t>
  </si>
  <si>
    <t>Thus camera mother structure will society tell whom amount should campaign.</t>
  </si>
  <si>
    <t>T106</t>
  </si>
  <si>
    <t>Action year argue usually ground clear war interview garden brother.</t>
  </si>
  <si>
    <t>T107</t>
  </si>
  <si>
    <t>Thus red senior term movie fall less.</t>
  </si>
  <si>
    <t>T108</t>
  </si>
  <si>
    <t>Stand reveal story compare mean last war stock happen book.</t>
  </si>
  <si>
    <t>T109</t>
  </si>
  <si>
    <t>Pull official father political marriage traditional can perhaps.</t>
  </si>
  <si>
    <t>T110</t>
  </si>
  <si>
    <t>Worry time notice happen close daughter case.</t>
  </si>
  <si>
    <t>T111</t>
  </si>
  <si>
    <t>Parent outside fact base clear.</t>
  </si>
  <si>
    <t>T112</t>
  </si>
  <si>
    <t>Different interesting who both board lot course road drop around.</t>
  </si>
  <si>
    <t>T113</t>
  </si>
  <si>
    <t>Call exactly protect order their lose organization money.</t>
  </si>
  <si>
    <t>T114</t>
  </si>
  <si>
    <t>Describe account run hope turn run organization employee.</t>
  </si>
  <si>
    <t>T115</t>
  </si>
  <si>
    <t>Their shoulder involve opportunity present he market positive.</t>
  </si>
  <si>
    <t>T116</t>
  </si>
  <si>
    <t>Drop employee religious too age tell word size up.</t>
  </si>
  <si>
    <t>T117</t>
  </si>
  <si>
    <t>Control force be sell contain.</t>
  </si>
  <si>
    <t>T118</t>
  </si>
  <si>
    <t>Well town month should bag.</t>
  </si>
  <si>
    <t>T119</t>
  </si>
  <si>
    <t>North goal only since specific major just theory seek.</t>
  </si>
  <si>
    <t>T120</t>
  </si>
  <si>
    <t>City should discuss election rate.</t>
  </si>
  <si>
    <t>T121</t>
  </si>
  <si>
    <t>Model hand recent image around since history order.</t>
  </si>
  <si>
    <t>T122</t>
  </si>
  <si>
    <t>Word member certain policy no.</t>
  </si>
  <si>
    <t>T123</t>
  </si>
  <si>
    <t>Everybody late feeling lot sort follow investment figure other maintain.</t>
  </si>
  <si>
    <t>T125</t>
  </si>
  <si>
    <t>Build interesting interest little level often national.</t>
  </si>
  <si>
    <t>T126</t>
  </si>
  <si>
    <t>Find board region draw reflect goal event special way along.</t>
  </si>
  <si>
    <t>T127</t>
  </si>
  <si>
    <t>Debate history art know either.</t>
  </si>
  <si>
    <t>T128</t>
  </si>
  <si>
    <t>Attention road physical imagine drop eight writer wind middle of.</t>
  </si>
  <si>
    <t>T129</t>
  </si>
  <si>
    <t>Through nothing money recognize.</t>
  </si>
  <si>
    <t>T130</t>
  </si>
  <si>
    <t>Far these him easy girl street.</t>
  </si>
  <si>
    <t>T131</t>
  </si>
  <si>
    <t>Week when future region travel.</t>
  </si>
  <si>
    <t>T132</t>
  </si>
  <si>
    <t>Call despite for American whether call during may.</t>
  </si>
  <si>
    <t>T133</t>
  </si>
  <si>
    <t>Himself benefit food true skill add on.</t>
  </si>
  <si>
    <t>T134</t>
  </si>
  <si>
    <t>Suddenly figure again but keep leave form real threat.</t>
  </si>
  <si>
    <t>T135</t>
  </si>
  <si>
    <t>Home word worry east that.</t>
  </si>
  <si>
    <t>T136</t>
  </si>
  <si>
    <t>Stay money education can debate care traditional left.</t>
  </si>
  <si>
    <t>T137</t>
  </si>
  <si>
    <t>Often offer he box road they inside huge animal.</t>
  </si>
  <si>
    <t>T138</t>
  </si>
  <si>
    <t>Central data year recently one former television how financial describe type.</t>
  </si>
  <si>
    <t>T139</t>
  </si>
  <si>
    <t>Simply fact like alone cover yeah listen rather.</t>
  </si>
  <si>
    <t>T140</t>
  </si>
  <si>
    <t>People billion through resource meet believe rather build huge establish.</t>
  </si>
  <si>
    <t>T141</t>
  </si>
  <si>
    <t>Fire administration notice voice address much student play send.</t>
  </si>
  <si>
    <t>T142</t>
  </si>
  <si>
    <t>Behavior tonight also day fill.</t>
  </si>
  <si>
    <t>T143</t>
  </si>
  <si>
    <t>Practice throw protect good without note reach pull.</t>
  </si>
  <si>
    <t>T144</t>
  </si>
  <si>
    <t>Suffer end lay north move again.</t>
  </si>
  <si>
    <t>T145</t>
  </si>
  <si>
    <t>Only than who know.</t>
  </si>
  <si>
    <t>T146</t>
  </si>
  <si>
    <t>Big once who suggest either.</t>
  </si>
  <si>
    <t>T148</t>
  </si>
  <si>
    <t>Price yourself entire price pull another safe gas.</t>
  </si>
  <si>
    <t>T149</t>
  </si>
  <si>
    <t>Fill research kid left wonder send difference seven.</t>
  </si>
  <si>
    <t>T150</t>
  </si>
  <si>
    <t>Activity let law economy body couple ever possible past career.</t>
  </si>
  <si>
    <t>T151</t>
  </si>
  <si>
    <t>Full we keep member total find none.</t>
  </si>
  <si>
    <t>T152</t>
  </si>
  <si>
    <t>That feeling end second happy week impact clear.</t>
  </si>
  <si>
    <t>T153</t>
  </si>
  <si>
    <t>Maybe four character end product.</t>
  </si>
  <si>
    <t>T154</t>
  </si>
  <si>
    <t>No should most social open nice form recognize east have.</t>
  </si>
  <si>
    <t>T155</t>
  </si>
  <si>
    <t>Work successful your walk the with class million determine attention it.</t>
  </si>
  <si>
    <t>T156</t>
  </si>
  <si>
    <t>Before note could discuss officer.</t>
  </si>
  <si>
    <t>T157</t>
  </si>
  <si>
    <t>Career protect college us discussion.</t>
  </si>
  <si>
    <t>T158</t>
  </si>
  <si>
    <t>Collection subject response peace add something.</t>
  </si>
  <si>
    <t>T159</t>
  </si>
  <si>
    <t>Individual also claim ask hit avoid day already.</t>
  </si>
  <si>
    <t>T160</t>
  </si>
  <si>
    <t>Bad lay apply affect watch religious development commercial.</t>
  </si>
  <si>
    <t>T161</t>
  </si>
  <si>
    <t>Pm game cup international important those everyone term start management.</t>
  </si>
  <si>
    <t>T162</t>
  </si>
  <si>
    <t>Boy standard ahead before first point page than.</t>
  </si>
  <si>
    <t>T163</t>
  </si>
  <si>
    <t>Himself nothing public season why.</t>
  </si>
  <si>
    <t>T164</t>
  </si>
  <si>
    <t>Share miss everyone structure sign change.</t>
  </si>
  <si>
    <t>T165</t>
  </si>
  <si>
    <t>History cold account attack lawyer unit peace although film onto run.</t>
  </si>
  <si>
    <t>T166</t>
  </si>
  <si>
    <t>What continue help cut situation Democrat.</t>
  </si>
  <si>
    <t>T167</t>
  </si>
  <si>
    <t>Bed reduce major feel seem federal reality concern movement table clear.</t>
  </si>
  <si>
    <t>T168</t>
  </si>
  <si>
    <t>Western off where hold hotel public least.</t>
  </si>
  <si>
    <t>T169</t>
  </si>
  <si>
    <t>Reduce truth without medical hand.</t>
  </si>
  <si>
    <t>T170</t>
  </si>
  <si>
    <t>Task personal community various and room build present fund big.</t>
  </si>
  <si>
    <t>T171</t>
  </si>
  <si>
    <t>Sure couple consider service really discussion look responsibility lead.</t>
  </si>
  <si>
    <t>T172</t>
  </si>
  <si>
    <t>Final seem financial appear represent chance.</t>
  </si>
  <si>
    <t>T173</t>
  </si>
  <si>
    <t>Research far not detail opportunity instead.</t>
  </si>
  <si>
    <t>T174</t>
  </si>
  <si>
    <t>Wear play marriage age window player her risk meet.</t>
  </si>
  <si>
    <t>T175</t>
  </si>
  <si>
    <t>Service total story daughter ready arm.</t>
  </si>
  <si>
    <t>T177</t>
  </si>
  <si>
    <t>Else arrive physical prove example what prevent impact his PM.</t>
  </si>
  <si>
    <t>T178</t>
  </si>
  <si>
    <t>Catch machine computer author prevent bring in force.</t>
  </si>
  <si>
    <t>T179</t>
  </si>
  <si>
    <t>Face director represent executive sense price phone style choose.</t>
  </si>
  <si>
    <t>T180</t>
  </si>
  <si>
    <t>Thousand whole building appear collection structure color walk right.</t>
  </si>
  <si>
    <t>T181</t>
  </si>
  <si>
    <t>Accept soon any fill seek may.</t>
  </si>
  <si>
    <t>T182</t>
  </si>
  <si>
    <t>Trouble certain happen imagine throughout Democrat goal crime also above.</t>
  </si>
  <si>
    <t>T183</t>
  </si>
  <si>
    <t>Concern charge opportunity against challenge Congress someone else late.</t>
  </si>
  <si>
    <t>T184</t>
  </si>
  <si>
    <t>Move well cause reveal improve include business.</t>
  </si>
  <si>
    <t>T185</t>
  </si>
  <si>
    <t>Push heart discussion however receive film each past its I near.</t>
  </si>
  <si>
    <t>T186</t>
  </si>
  <si>
    <t>Whom run note send hold first build serious.</t>
  </si>
  <si>
    <t>T187</t>
  </si>
  <si>
    <t>Condition spring foot far avoid many wear line president.</t>
  </si>
  <si>
    <t>T188</t>
  </si>
  <si>
    <t>Likely view see important paper.</t>
  </si>
  <si>
    <t>T189</t>
  </si>
  <si>
    <t>Behind foreign after serve good skin knowledge hope.</t>
  </si>
  <si>
    <t>T190</t>
  </si>
  <si>
    <t>Item fund own as feel source way.</t>
  </si>
  <si>
    <t>T191</t>
  </si>
  <si>
    <t>Education through produce series last several record likely me.</t>
  </si>
  <si>
    <t>T192</t>
  </si>
  <si>
    <t>Yes explain why morning voice Republican again step old.</t>
  </si>
  <si>
    <t>T193</t>
  </si>
  <si>
    <t>Toward since civil away.</t>
  </si>
  <si>
    <t>T194</t>
  </si>
  <si>
    <t>Sport her radio look marriage.</t>
  </si>
  <si>
    <t>T195</t>
  </si>
  <si>
    <t>Against they event which whose.</t>
  </si>
  <si>
    <t>T196</t>
  </si>
  <si>
    <t>Top act about police fill.</t>
  </si>
  <si>
    <t>T197</t>
  </si>
  <si>
    <t>Soon especially expect he today entire protect risk radio.</t>
  </si>
  <si>
    <t>T198</t>
  </si>
  <si>
    <t>Decade natural stock hard someone.</t>
  </si>
  <si>
    <t>T199</t>
  </si>
  <si>
    <t>I what question until sister media receive list sound project floor.</t>
  </si>
  <si>
    <t>T200</t>
  </si>
  <si>
    <t>Drive that stay why imagine partner country care employee.</t>
  </si>
  <si>
    <t>T201</t>
  </si>
  <si>
    <t>T202</t>
  </si>
  <si>
    <t>T203</t>
  </si>
  <si>
    <t>T204</t>
  </si>
  <si>
    <t>T205</t>
  </si>
  <si>
    <t>T206</t>
  </si>
  <si>
    <t>T207</t>
  </si>
  <si>
    <t>T208</t>
  </si>
  <si>
    <t>T209</t>
  </si>
  <si>
    <t>T210</t>
  </si>
  <si>
    <t>T211</t>
  </si>
  <si>
    <t>T212</t>
  </si>
  <si>
    <t>T213</t>
  </si>
  <si>
    <t>T214</t>
  </si>
  <si>
    <t>T215</t>
  </si>
  <si>
    <t>T216</t>
  </si>
  <si>
    <t>T217</t>
  </si>
  <si>
    <t>T218</t>
  </si>
  <si>
    <t>T219</t>
  </si>
  <si>
    <t>T220</t>
  </si>
  <si>
    <t>T221</t>
  </si>
  <si>
    <t>T222</t>
  </si>
  <si>
    <t>T223</t>
  </si>
  <si>
    <t>T224</t>
  </si>
  <si>
    <t>T225</t>
  </si>
  <si>
    <t>T226</t>
  </si>
  <si>
    <t>T227</t>
  </si>
  <si>
    <t>T228</t>
  </si>
  <si>
    <t>T230</t>
  </si>
  <si>
    <t>T231</t>
  </si>
  <si>
    <t>T232</t>
  </si>
  <si>
    <t>T233</t>
  </si>
  <si>
    <t>T234</t>
  </si>
  <si>
    <t>T235</t>
  </si>
  <si>
    <t>T236</t>
  </si>
  <si>
    <t>T237</t>
  </si>
  <si>
    <t>T238</t>
  </si>
  <si>
    <t>T239</t>
  </si>
  <si>
    <t>T240</t>
  </si>
  <si>
    <t>T241</t>
  </si>
  <si>
    <t>T242</t>
  </si>
  <si>
    <t>T243</t>
  </si>
  <si>
    <t>T244</t>
  </si>
  <si>
    <t>T245</t>
  </si>
  <si>
    <t>T246</t>
  </si>
  <si>
    <t>T247</t>
  </si>
  <si>
    <t>T248</t>
  </si>
  <si>
    <t>T249</t>
  </si>
  <si>
    <t>T250</t>
  </si>
  <si>
    <t>T251</t>
  </si>
  <si>
    <t>T252</t>
  </si>
  <si>
    <t>T253</t>
  </si>
  <si>
    <t>T254</t>
  </si>
  <si>
    <t>T255</t>
  </si>
  <si>
    <t>T256</t>
  </si>
  <si>
    <t>T257</t>
  </si>
  <si>
    <t>T258</t>
  </si>
  <si>
    <t>T259</t>
  </si>
  <si>
    <t>T260</t>
  </si>
  <si>
    <t>T261</t>
  </si>
  <si>
    <t>T262</t>
  </si>
  <si>
    <t>T263</t>
  </si>
  <si>
    <t>T264</t>
  </si>
  <si>
    <t>T265</t>
  </si>
  <si>
    <t>T266</t>
  </si>
  <si>
    <t>T267</t>
  </si>
  <si>
    <t>T268</t>
  </si>
  <si>
    <t>T269</t>
  </si>
  <si>
    <t>T270</t>
  </si>
  <si>
    <t>T271</t>
  </si>
  <si>
    <t>T272</t>
  </si>
  <si>
    <t>T273</t>
  </si>
  <si>
    <t>T274</t>
  </si>
  <si>
    <t>T275</t>
  </si>
  <si>
    <t>T276</t>
  </si>
  <si>
    <t>T277</t>
  </si>
  <si>
    <t>T278</t>
  </si>
  <si>
    <t>T279</t>
  </si>
  <si>
    <t>T280</t>
  </si>
  <si>
    <t>T281</t>
  </si>
  <si>
    <t>T282</t>
  </si>
  <si>
    <t>T283</t>
  </si>
  <si>
    <t>T284</t>
  </si>
  <si>
    <t>T285</t>
  </si>
  <si>
    <t>T286</t>
  </si>
  <si>
    <t>T287</t>
  </si>
  <si>
    <t>T288</t>
  </si>
  <si>
    <t>T289</t>
  </si>
  <si>
    <t>T290</t>
  </si>
  <si>
    <t>T291</t>
  </si>
  <si>
    <t>T292</t>
  </si>
  <si>
    <t>T293</t>
  </si>
  <si>
    <t>T294</t>
  </si>
  <si>
    <t>T295</t>
  </si>
  <si>
    <t>T296</t>
  </si>
  <si>
    <t>T297</t>
  </si>
  <si>
    <t>T298</t>
  </si>
  <si>
    <t>T299</t>
  </si>
  <si>
    <t>T300</t>
  </si>
  <si>
    <t>T301</t>
  </si>
  <si>
    <t>T302</t>
  </si>
  <si>
    <t>T303</t>
  </si>
  <si>
    <t>T304</t>
  </si>
  <si>
    <t>T305</t>
  </si>
  <si>
    <t>T306</t>
  </si>
  <si>
    <t>T307</t>
  </si>
  <si>
    <t>T308</t>
  </si>
  <si>
    <t>T309</t>
  </si>
  <si>
    <t>T310</t>
  </si>
  <si>
    <t>T311</t>
  </si>
  <si>
    <t>T312</t>
  </si>
  <si>
    <t>T313</t>
  </si>
  <si>
    <t>T314</t>
  </si>
  <si>
    <t>T315</t>
  </si>
  <si>
    <t>T316</t>
  </si>
  <si>
    <t>T317</t>
  </si>
  <si>
    <t>T318</t>
  </si>
  <si>
    <t>T319</t>
  </si>
  <si>
    <t>T320</t>
  </si>
  <si>
    <t>T321</t>
  </si>
  <si>
    <t>T322</t>
  </si>
  <si>
    <t>T323</t>
  </si>
  <si>
    <t>T325</t>
  </si>
  <si>
    <t>T326</t>
  </si>
  <si>
    <t>T327</t>
  </si>
  <si>
    <t>T328</t>
  </si>
  <si>
    <t>T329</t>
  </si>
  <si>
    <t>T330</t>
  </si>
  <si>
    <t>T331</t>
  </si>
  <si>
    <t>T332</t>
  </si>
  <si>
    <t>T333</t>
  </si>
  <si>
    <t>T334</t>
  </si>
  <si>
    <t>T335</t>
  </si>
  <si>
    <t>T336</t>
  </si>
  <si>
    <t>T337</t>
  </si>
  <si>
    <t>T338</t>
  </si>
  <si>
    <t>T339</t>
  </si>
  <si>
    <t>T340</t>
  </si>
  <si>
    <t>T341</t>
  </si>
  <si>
    <t>T342</t>
  </si>
  <si>
    <t>T343</t>
  </si>
  <si>
    <t>T344</t>
  </si>
  <si>
    <t>T345</t>
  </si>
  <si>
    <t>T346</t>
  </si>
  <si>
    <t>T347</t>
  </si>
  <si>
    <t>Short practice easy front left what owner condition.</t>
  </si>
  <si>
    <t>T348</t>
  </si>
  <si>
    <t>T349</t>
  </si>
  <si>
    <t>T350</t>
  </si>
  <si>
    <t>T351</t>
  </si>
  <si>
    <t>T352</t>
  </si>
  <si>
    <t>T353</t>
  </si>
  <si>
    <t>T354</t>
  </si>
  <si>
    <t>T355</t>
  </si>
  <si>
    <t>T356</t>
  </si>
  <si>
    <t>T357</t>
  </si>
  <si>
    <t>T358</t>
  </si>
  <si>
    <t>T359</t>
  </si>
  <si>
    <t>T360</t>
  </si>
  <si>
    <t>T361</t>
  </si>
  <si>
    <t>T362</t>
  </si>
  <si>
    <t>T363</t>
  </si>
  <si>
    <t>T364</t>
  </si>
  <si>
    <t>T365</t>
  </si>
  <si>
    <t>T366</t>
  </si>
  <si>
    <t>T367</t>
  </si>
  <si>
    <t>T368</t>
  </si>
  <si>
    <t>T369</t>
  </si>
  <si>
    <t>T370</t>
  </si>
  <si>
    <t>T371</t>
  </si>
  <si>
    <t>T372</t>
  </si>
  <si>
    <t>T373</t>
  </si>
  <si>
    <t>T374</t>
  </si>
  <si>
    <t>T375</t>
  </si>
  <si>
    <t>T377</t>
  </si>
  <si>
    <t>T378</t>
  </si>
  <si>
    <t>T379</t>
  </si>
  <si>
    <t>T380</t>
  </si>
  <si>
    <t>T381</t>
  </si>
  <si>
    <t>T382</t>
  </si>
  <si>
    <t>T383</t>
  </si>
  <si>
    <t>T384</t>
  </si>
  <si>
    <t>T385</t>
  </si>
  <si>
    <t>T386</t>
  </si>
  <si>
    <t>T387</t>
  </si>
  <si>
    <t>T388</t>
  </si>
  <si>
    <t>T389</t>
  </si>
  <si>
    <t>T390</t>
  </si>
  <si>
    <t>T391</t>
  </si>
  <si>
    <t>T392</t>
  </si>
  <si>
    <t>T393</t>
  </si>
  <si>
    <t>T394</t>
  </si>
  <si>
    <t>T395</t>
  </si>
  <si>
    <t>T396</t>
  </si>
  <si>
    <t>T397</t>
  </si>
  <si>
    <t>T398</t>
  </si>
  <si>
    <t>T399</t>
  </si>
  <si>
    <t>T400</t>
  </si>
  <si>
    <t>T401</t>
  </si>
  <si>
    <t>T402</t>
  </si>
  <si>
    <t>T403</t>
  </si>
  <si>
    <t>T404</t>
  </si>
  <si>
    <t>T405</t>
  </si>
  <si>
    <t>T406</t>
  </si>
  <si>
    <t>T407</t>
  </si>
  <si>
    <t>T408</t>
  </si>
  <si>
    <t>T409</t>
  </si>
  <si>
    <t>T410</t>
  </si>
  <si>
    <t>T411</t>
  </si>
  <si>
    <t>T412</t>
  </si>
  <si>
    <t>T413</t>
  </si>
  <si>
    <t>T414</t>
  </si>
  <si>
    <t>T415</t>
  </si>
  <si>
    <t>T416</t>
  </si>
  <si>
    <t>T417</t>
  </si>
  <si>
    <t>T418</t>
  </si>
  <si>
    <t>T419</t>
  </si>
  <si>
    <t>T420</t>
  </si>
  <si>
    <t>T421</t>
  </si>
  <si>
    <t>T422</t>
  </si>
  <si>
    <t>T423</t>
  </si>
  <si>
    <t>T424</t>
  </si>
  <si>
    <t>T425</t>
  </si>
  <si>
    <t>T426</t>
  </si>
  <si>
    <t>T427</t>
  </si>
  <si>
    <t>T428</t>
  </si>
  <si>
    <t>T429</t>
  </si>
  <si>
    <t>T430</t>
  </si>
  <si>
    <t>T431</t>
  </si>
  <si>
    <t>T432</t>
  </si>
  <si>
    <t>T433</t>
  </si>
  <si>
    <t>T434</t>
  </si>
  <si>
    <t>T435</t>
  </si>
  <si>
    <t>T436</t>
  </si>
  <si>
    <t>T437</t>
  </si>
  <si>
    <t>T438</t>
  </si>
  <si>
    <t>T439</t>
  </si>
  <si>
    <t>Huge yourself just amount list.</t>
  </si>
  <si>
    <t>T440</t>
  </si>
  <si>
    <t>T441</t>
  </si>
  <si>
    <t>T442</t>
  </si>
  <si>
    <t>T443</t>
  </si>
  <si>
    <t>T444</t>
  </si>
  <si>
    <t>T445</t>
  </si>
  <si>
    <t>T446</t>
  </si>
  <si>
    <t>T447</t>
  </si>
  <si>
    <t>T448</t>
  </si>
  <si>
    <t>T449</t>
  </si>
  <si>
    <t>T450</t>
  </si>
  <si>
    <t>T451</t>
  </si>
  <si>
    <t>T452</t>
  </si>
  <si>
    <t>T453</t>
  </si>
  <si>
    <t>T454</t>
  </si>
  <si>
    <t>T455</t>
  </si>
  <si>
    <t>T456</t>
  </si>
  <si>
    <t>T457</t>
  </si>
  <si>
    <t>T458</t>
  </si>
  <si>
    <t>T459</t>
  </si>
  <si>
    <t>T460</t>
  </si>
  <si>
    <t>T461</t>
  </si>
  <si>
    <t>T462</t>
  </si>
  <si>
    <t>T463</t>
  </si>
  <si>
    <t>T464</t>
  </si>
  <si>
    <t>T465</t>
  </si>
  <si>
    <t>T466</t>
  </si>
  <si>
    <t>T467</t>
  </si>
  <si>
    <t>T468</t>
  </si>
  <si>
    <t>T469</t>
  </si>
  <si>
    <t>T470</t>
  </si>
  <si>
    <t>T471</t>
  </si>
  <si>
    <t>T472</t>
  </si>
  <si>
    <t>T473</t>
  </si>
  <si>
    <t>T474</t>
  </si>
  <si>
    <t>T475</t>
  </si>
  <si>
    <t>T476</t>
  </si>
  <si>
    <t>T477</t>
  </si>
  <si>
    <t>T478</t>
  </si>
  <si>
    <t>T479</t>
  </si>
  <si>
    <t>T480</t>
  </si>
  <si>
    <t>T481</t>
  </si>
  <si>
    <t>T482</t>
  </si>
  <si>
    <t>T483</t>
  </si>
  <si>
    <t>T484</t>
  </si>
  <si>
    <t>T485</t>
  </si>
  <si>
    <t>T486</t>
  </si>
  <si>
    <t>T487</t>
  </si>
  <si>
    <t>T488</t>
  </si>
  <si>
    <t>T489</t>
  </si>
  <si>
    <t>T490</t>
  </si>
  <si>
    <t>T491</t>
  </si>
  <si>
    <t>T492</t>
  </si>
  <si>
    <t>T493</t>
  </si>
  <si>
    <t>T494</t>
  </si>
  <si>
    <t>T495</t>
  </si>
  <si>
    <t>T496</t>
  </si>
  <si>
    <t>T497</t>
  </si>
  <si>
    <t>T498</t>
  </si>
  <si>
    <t>T499</t>
  </si>
  <si>
    <t>T500</t>
  </si>
  <si>
    <t>T501</t>
  </si>
  <si>
    <t>T502</t>
  </si>
  <si>
    <t>T503</t>
  </si>
  <si>
    <t>T504</t>
  </si>
  <si>
    <t>T505</t>
  </si>
  <si>
    <t>T506</t>
  </si>
  <si>
    <t>T507</t>
  </si>
  <si>
    <t>T508</t>
  </si>
  <si>
    <t>T509</t>
  </si>
  <si>
    <t>T510</t>
  </si>
  <si>
    <t>T511</t>
  </si>
  <si>
    <t>T512</t>
  </si>
  <si>
    <t>T513</t>
  </si>
  <si>
    <t>T514</t>
  </si>
  <si>
    <t>T515</t>
  </si>
  <si>
    <t>T516</t>
  </si>
  <si>
    <t>T517</t>
  </si>
  <si>
    <t>T518</t>
  </si>
  <si>
    <t>T519</t>
  </si>
  <si>
    <t>T520</t>
  </si>
  <si>
    <t>T521</t>
  </si>
  <si>
    <t>T522</t>
  </si>
  <si>
    <t>T523</t>
  </si>
  <si>
    <t>T524</t>
  </si>
  <si>
    <t>T525</t>
  </si>
  <si>
    <t>T526</t>
  </si>
  <si>
    <t>T527</t>
  </si>
  <si>
    <t>T528</t>
  </si>
  <si>
    <t>T529</t>
  </si>
  <si>
    <t>T530</t>
  </si>
  <si>
    <t>T531</t>
  </si>
  <si>
    <t>T532</t>
  </si>
  <si>
    <t>T533</t>
  </si>
  <si>
    <t>T534</t>
  </si>
  <si>
    <t>T535</t>
  </si>
  <si>
    <t>T536</t>
  </si>
  <si>
    <t>T537</t>
  </si>
  <si>
    <t>T538</t>
  </si>
  <si>
    <t>T539</t>
  </si>
  <si>
    <t>T540</t>
  </si>
  <si>
    <t>T541</t>
  </si>
  <si>
    <t>T542</t>
  </si>
  <si>
    <t>T543</t>
  </si>
  <si>
    <t>T544</t>
  </si>
  <si>
    <t>T545</t>
  </si>
  <si>
    <t>T546</t>
  </si>
  <si>
    <t>T547</t>
  </si>
  <si>
    <t>T548</t>
  </si>
  <si>
    <t>T549</t>
  </si>
  <si>
    <t>T550</t>
  </si>
  <si>
    <t>T551</t>
  </si>
  <si>
    <t>T552</t>
  </si>
  <si>
    <t>T553</t>
  </si>
  <si>
    <t>T554</t>
  </si>
  <si>
    <t>T555</t>
  </si>
  <si>
    <t>T556</t>
  </si>
  <si>
    <t>T557</t>
  </si>
  <si>
    <t>T558</t>
  </si>
  <si>
    <t>T559</t>
  </si>
  <si>
    <t>T560</t>
  </si>
  <si>
    <t>T561</t>
  </si>
  <si>
    <t>T562</t>
  </si>
  <si>
    <t>T563</t>
  </si>
  <si>
    <t>T564</t>
  </si>
  <si>
    <t>T565</t>
  </si>
  <si>
    <t>T566</t>
  </si>
  <si>
    <t>T567</t>
  </si>
  <si>
    <t>T568</t>
  </si>
  <si>
    <t>T569</t>
  </si>
  <si>
    <t>T570</t>
  </si>
  <si>
    <t>Aug</t>
  </si>
  <si>
    <t>T571</t>
  </si>
  <si>
    <t>Dec</t>
  </si>
  <si>
    <t>T572</t>
  </si>
  <si>
    <t>T573</t>
  </si>
  <si>
    <t>T574</t>
  </si>
  <si>
    <t>Jul</t>
  </si>
  <si>
    <t>T575</t>
  </si>
  <si>
    <t>T576</t>
  </si>
  <si>
    <t>T577</t>
  </si>
  <si>
    <t>Oct</t>
  </si>
  <si>
    <t>T578</t>
  </si>
  <si>
    <t>Nov</t>
  </si>
  <si>
    <t>T579</t>
  </si>
  <si>
    <t>T580</t>
  </si>
  <si>
    <t>T581</t>
  </si>
  <si>
    <t>T582</t>
  </si>
  <si>
    <t>T583</t>
  </si>
  <si>
    <t>T584</t>
  </si>
  <si>
    <t>T585</t>
  </si>
  <si>
    <t>T586</t>
  </si>
  <si>
    <t>Sep</t>
  </si>
  <si>
    <t>T587</t>
  </si>
  <si>
    <t>T588</t>
  </si>
  <si>
    <t>T589</t>
  </si>
  <si>
    <t>T590</t>
  </si>
  <si>
    <t>T591</t>
  </si>
  <si>
    <t>T592</t>
  </si>
  <si>
    <t>T593</t>
  </si>
  <si>
    <t>T594</t>
  </si>
  <si>
    <t>T595</t>
  </si>
  <si>
    <t>T596</t>
  </si>
  <si>
    <t>T597</t>
  </si>
  <si>
    <t>T598</t>
  </si>
  <si>
    <t>T599</t>
  </si>
  <si>
    <t>T600</t>
  </si>
  <si>
    <t>T601</t>
  </si>
  <si>
    <t>T602</t>
  </si>
  <si>
    <t>T603</t>
  </si>
  <si>
    <t>T604</t>
  </si>
  <si>
    <t>T605</t>
  </si>
  <si>
    <t>T606</t>
  </si>
  <si>
    <t>T607</t>
  </si>
  <si>
    <t>T608</t>
  </si>
  <si>
    <t>T609</t>
  </si>
  <si>
    <t>T610</t>
  </si>
  <si>
    <t>T611</t>
  </si>
  <si>
    <t>T612</t>
  </si>
  <si>
    <t>T613</t>
  </si>
  <si>
    <t>T614</t>
  </si>
  <si>
    <t>T615</t>
  </si>
  <si>
    <t>T616</t>
  </si>
  <si>
    <t>T617</t>
  </si>
  <si>
    <t>T618</t>
  </si>
  <si>
    <t>T619</t>
  </si>
  <si>
    <t>T620</t>
  </si>
  <si>
    <t>T621</t>
  </si>
  <si>
    <t>T622</t>
  </si>
  <si>
    <t>T623</t>
  </si>
  <si>
    <t>T624</t>
  </si>
  <si>
    <t>T625</t>
  </si>
  <si>
    <t>T626</t>
  </si>
  <si>
    <t>T627</t>
  </si>
  <si>
    <t>T628</t>
  </si>
  <si>
    <t>T629</t>
  </si>
  <si>
    <t>T630</t>
  </si>
  <si>
    <t>T631</t>
  </si>
  <si>
    <t>T632</t>
  </si>
  <si>
    <t>T633</t>
  </si>
  <si>
    <t>T634</t>
  </si>
  <si>
    <t>T635</t>
  </si>
  <si>
    <t>T636</t>
  </si>
  <si>
    <t>T637</t>
  </si>
  <si>
    <t>T638</t>
  </si>
  <si>
    <t>T639</t>
  </si>
  <si>
    <t>T640</t>
  </si>
  <si>
    <t>T641</t>
  </si>
  <si>
    <t>T642</t>
  </si>
  <si>
    <t>T643</t>
  </si>
  <si>
    <t>T644</t>
  </si>
  <si>
    <t>T645</t>
  </si>
  <si>
    <t>T646</t>
  </si>
  <si>
    <t>T647</t>
  </si>
  <si>
    <t>T648</t>
  </si>
  <si>
    <t>T649</t>
  </si>
  <si>
    <t>T650</t>
  </si>
  <si>
    <t>T651</t>
  </si>
  <si>
    <t>T652</t>
  </si>
  <si>
    <t>T653</t>
  </si>
  <si>
    <t>T654</t>
  </si>
  <si>
    <t>T655</t>
  </si>
  <si>
    <t>T656</t>
  </si>
  <si>
    <t>T657</t>
  </si>
  <si>
    <t>T658</t>
  </si>
  <si>
    <t>T659</t>
  </si>
  <si>
    <t>T660</t>
  </si>
  <si>
    <t>T661</t>
  </si>
  <si>
    <t>T662</t>
  </si>
  <si>
    <t>T663</t>
  </si>
  <si>
    <t>T664</t>
  </si>
  <si>
    <t>T665</t>
  </si>
  <si>
    <t>T666</t>
  </si>
  <si>
    <t>T667</t>
  </si>
  <si>
    <t>T668</t>
  </si>
  <si>
    <t>T669</t>
  </si>
  <si>
    <t>T670</t>
  </si>
  <si>
    <t>T671</t>
  </si>
  <si>
    <t>T672</t>
  </si>
  <si>
    <t>T673</t>
  </si>
  <si>
    <t>T674</t>
  </si>
  <si>
    <t>T675</t>
  </si>
  <si>
    <t>T676</t>
  </si>
  <si>
    <t>T677</t>
  </si>
  <si>
    <t>T678</t>
  </si>
  <si>
    <t>T679</t>
  </si>
  <si>
    <t>T680</t>
  </si>
  <si>
    <t>T681</t>
  </si>
  <si>
    <t>T682</t>
  </si>
  <si>
    <t>T683</t>
  </si>
  <si>
    <t>T684</t>
  </si>
  <si>
    <t>T685</t>
  </si>
  <si>
    <t>T686</t>
  </si>
  <si>
    <t>T687</t>
  </si>
  <si>
    <t>T688</t>
  </si>
  <si>
    <t>T689</t>
  </si>
  <si>
    <t>T690</t>
  </si>
  <si>
    <t>T691</t>
  </si>
  <si>
    <t>T692</t>
  </si>
  <si>
    <t>T693</t>
  </si>
  <si>
    <t>T694</t>
  </si>
  <si>
    <t>T695</t>
  </si>
  <si>
    <t>T696</t>
  </si>
  <si>
    <t>T697</t>
  </si>
  <si>
    <t>T698</t>
  </si>
  <si>
    <t>T699</t>
  </si>
  <si>
    <t>T700</t>
  </si>
  <si>
    <t>T701</t>
  </si>
  <si>
    <t>T702</t>
  </si>
  <si>
    <t>T703</t>
  </si>
  <si>
    <t>T704</t>
  </si>
  <si>
    <t>T705</t>
  </si>
  <si>
    <t>T706</t>
  </si>
  <si>
    <t>T707</t>
  </si>
  <si>
    <t>T708</t>
  </si>
  <si>
    <t>T709</t>
  </si>
  <si>
    <t>T710</t>
  </si>
  <si>
    <t>T711</t>
  </si>
  <si>
    <t>T712</t>
  </si>
  <si>
    <t>T713</t>
  </si>
  <si>
    <t>T714</t>
  </si>
  <si>
    <t>T715</t>
  </si>
  <si>
    <t>T716</t>
  </si>
  <si>
    <t>T717</t>
  </si>
  <si>
    <t>T718</t>
  </si>
  <si>
    <t>T719</t>
  </si>
  <si>
    <t>T720</t>
  </si>
  <si>
    <t>T721</t>
  </si>
  <si>
    <t>T722</t>
  </si>
  <si>
    <t>T723</t>
  </si>
  <si>
    <t>T724</t>
  </si>
  <si>
    <t>T725</t>
  </si>
  <si>
    <t>T726</t>
  </si>
  <si>
    <t>T727</t>
  </si>
  <si>
    <t>T728</t>
  </si>
  <si>
    <t>T729</t>
  </si>
  <si>
    <t>T730</t>
  </si>
  <si>
    <t>T731</t>
  </si>
  <si>
    <t>T732</t>
  </si>
  <si>
    <t>T733</t>
  </si>
  <si>
    <t>T734</t>
  </si>
  <si>
    <t>T735</t>
  </si>
  <si>
    <t>T736</t>
  </si>
  <si>
    <t>T737</t>
  </si>
  <si>
    <t>T738</t>
  </si>
  <si>
    <t>T739</t>
  </si>
  <si>
    <t>T740</t>
  </si>
  <si>
    <t>T741</t>
  </si>
  <si>
    <t>T742</t>
  </si>
  <si>
    <t>T743</t>
  </si>
  <si>
    <t>T744</t>
  </si>
  <si>
    <t>T745</t>
  </si>
  <si>
    <t>T746</t>
  </si>
  <si>
    <t>T747</t>
  </si>
  <si>
    <t>T748</t>
  </si>
  <si>
    <t>T749</t>
  </si>
  <si>
    <t>T750</t>
  </si>
  <si>
    <t>T751</t>
  </si>
  <si>
    <t>T752</t>
  </si>
  <si>
    <t>T753</t>
  </si>
  <si>
    <t>T754</t>
  </si>
  <si>
    <t>T755</t>
  </si>
  <si>
    <t>T756</t>
  </si>
  <si>
    <t>T757</t>
  </si>
  <si>
    <t>T758</t>
  </si>
  <si>
    <t>T759</t>
  </si>
  <si>
    <t>T760</t>
  </si>
  <si>
    <t>T761</t>
  </si>
  <si>
    <t>T762</t>
  </si>
  <si>
    <t>T763</t>
  </si>
  <si>
    <t>T764</t>
  </si>
  <si>
    <t>T765</t>
  </si>
  <si>
    <t>T766</t>
  </si>
  <si>
    <t>T767</t>
  </si>
  <si>
    <t>T768</t>
  </si>
  <si>
    <t>T769</t>
  </si>
  <si>
    <t>T770</t>
  </si>
  <si>
    <t>T771</t>
  </si>
  <si>
    <t>T772</t>
  </si>
  <si>
    <t>T773</t>
  </si>
  <si>
    <t>T774</t>
  </si>
  <si>
    <t>T775</t>
  </si>
  <si>
    <t>T776</t>
  </si>
  <si>
    <t>T777</t>
  </si>
  <si>
    <t>T778</t>
  </si>
  <si>
    <t>T779</t>
  </si>
  <si>
    <t>T780</t>
  </si>
  <si>
    <t>T781</t>
  </si>
  <si>
    <t>T782</t>
  </si>
  <si>
    <t>T783</t>
  </si>
  <si>
    <t>T784</t>
  </si>
  <si>
    <t>T785</t>
  </si>
  <si>
    <t>T786</t>
  </si>
  <si>
    <t>T787</t>
  </si>
  <si>
    <t>T788</t>
  </si>
  <si>
    <t>T789</t>
  </si>
  <si>
    <t>T790</t>
  </si>
  <si>
    <t>T791</t>
  </si>
  <si>
    <t>T792</t>
  </si>
  <si>
    <t>T793</t>
  </si>
  <si>
    <t>T794</t>
  </si>
  <si>
    <t>T795</t>
  </si>
  <si>
    <t>T796</t>
  </si>
  <si>
    <t>T797</t>
  </si>
  <si>
    <t>T798</t>
  </si>
  <si>
    <t>T799</t>
  </si>
  <si>
    <t>T800</t>
  </si>
  <si>
    <t>T801</t>
  </si>
  <si>
    <t>T802</t>
  </si>
  <si>
    <t>T803</t>
  </si>
  <si>
    <t>T804</t>
  </si>
  <si>
    <t>T805</t>
  </si>
  <si>
    <t>T806</t>
  </si>
  <si>
    <t>T807</t>
  </si>
  <si>
    <t>T808</t>
  </si>
  <si>
    <t>T809</t>
  </si>
  <si>
    <t>T810</t>
  </si>
  <si>
    <t>T811</t>
  </si>
  <si>
    <t>T812</t>
  </si>
  <si>
    <t>T813</t>
  </si>
  <si>
    <t>T814</t>
  </si>
  <si>
    <t>T815</t>
  </si>
  <si>
    <t>T816</t>
  </si>
  <si>
    <t>T817</t>
  </si>
  <si>
    <t>T818</t>
  </si>
  <si>
    <t>T819</t>
  </si>
  <si>
    <t>T820</t>
  </si>
  <si>
    <t>T821</t>
  </si>
  <si>
    <t>T822</t>
  </si>
  <si>
    <t>T823</t>
  </si>
  <si>
    <t>T824</t>
  </si>
  <si>
    <t>T825</t>
  </si>
  <si>
    <t>T826</t>
  </si>
  <si>
    <t>T827</t>
  </si>
  <si>
    <t>T828</t>
  </si>
  <si>
    <t>T829</t>
  </si>
  <si>
    <t>T830</t>
  </si>
  <si>
    <t>T831</t>
  </si>
  <si>
    <t>T832</t>
  </si>
  <si>
    <t>T833</t>
  </si>
  <si>
    <t>T834</t>
  </si>
  <si>
    <t>T835</t>
  </si>
  <si>
    <t>T836</t>
  </si>
  <si>
    <t>T837</t>
  </si>
  <si>
    <t>T838</t>
  </si>
  <si>
    <t>T839</t>
  </si>
  <si>
    <t>T840</t>
  </si>
  <si>
    <t>T841</t>
  </si>
  <si>
    <t>T842</t>
  </si>
  <si>
    <t>T843</t>
  </si>
  <si>
    <t>T844</t>
  </si>
  <si>
    <t>T845</t>
  </si>
  <si>
    <t>T846</t>
  </si>
  <si>
    <t>T847</t>
  </si>
  <si>
    <t>T848</t>
  </si>
  <si>
    <t>T849</t>
  </si>
  <si>
    <t>T850</t>
  </si>
  <si>
    <t>T851</t>
  </si>
  <si>
    <t>T852</t>
  </si>
  <si>
    <t>T853</t>
  </si>
  <si>
    <t>T854</t>
  </si>
  <si>
    <t>T855</t>
  </si>
  <si>
    <t>T856</t>
  </si>
  <si>
    <t>T857</t>
  </si>
  <si>
    <t>T858</t>
  </si>
  <si>
    <t>T859</t>
  </si>
  <si>
    <t>T860</t>
  </si>
  <si>
    <t>T861</t>
  </si>
  <si>
    <t>T862</t>
  </si>
  <si>
    <t>T863</t>
  </si>
  <si>
    <t>T864</t>
  </si>
  <si>
    <t>T865</t>
  </si>
  <si>
    <t>T866</t>
  </si>
  <si>
    <t>T867</t>
  </si>
  <si>
    <t>T868</t>
  </si>
  <si>
    <t>T869</t>
  </si>
  <si>
    <t>T870</t>
  </si>
  <si>
    <t>T871</t>
  </si>
  <si>
    <t>T872</t>
  </si>
  <si>
    <t>T873</t>
  </si>
  <si>
    <t>T874</t>
  </si>
  <si>
    <t>T875</t>
  </si>
  <si>
    <t>T876</t>
  </si>
  <si>
    <t>T877</t>
  </si>
  <si>
    <t>T878</t>
  </si>
  <si>
    <t>T879</t>
  </si>
  <si>
    <t>T880</t>
  </si>
  <si>
    <t>T881</t>
  </si>
  <si>
    <t>T882</t>
  </si>
  <si>
    <t>T883</t>
  </si>
  <si>
    <t>T884</t>
  </si>
  <si>
    <t>T885</t>
  </si>
  <si>
    <t>T886</t>
  </si>
  <si>
    <t>T887</t>
  </si>
  <si>
    <t>T888</t>
  </si>
  <si>
    <t>T889</t>
  </si>
  <si>
    <t>T890</t>
  </si>
  <si>
    <t>T891</t>
  </si>
  <si>
    <t>T892</t>
  </si>
  <si>
    <t>T893</t>
  </si>
  <si>
    <t>T894</t>
  </si>
  <si>
    <t>T895</t>
  </si>
  <si>
    <t>T896</t>
  </si>
  <si>
    <t>T897</t>
  </si>
  <si>
    <t>T898</t>
  </si>
  <si>
    <t>T899</t>
  </si>
  <si>
    <t>T900</t>
  </si>
  <si>
    <t>T901</t>
  </si>
  <si>
    <t>T902</t>
  </si>
  <si>
    <t>T903</t>
  </si>
  <si>
    <t>T904</t>
  </si>
  <si>
    <t>T905</t>
  </si>
  <si>
    <t>T906</t>
  </si>
  <si>
    <t>T907</t>
  </si>
  <si>
    <t>T908</t>
  </si>
  <si>
    <t>T909</t>
  </si>
  <si>
    <t>T910</t>
  </si>
  <si>
    <t>T911</t>
  </si>
  <si>
    <t>T912</t>
  </si>
  <si>
    <t>T913</t>
  </si>
  <si>
    <t>T914</t>
  </si>
  <si>
    <t>T915</t>
  </si>
  <si>
    <t>T916</t>
  </si>
  <si>
    <t>T917</t>
  </si>
  <si>
    <t>T918</t>
  </si>
  <si>
    <t>T919</t>
  </si>
  <si>
    <t>T920</t>
  </si>
  <si>
    <t>T921</t>
  </si>
  <si>
    <t>T922</t>
  </si>
  <si>
    <t>T923</t>
  </si>
  <si>
    <t>T924</t>
  </si>
  <si>
    <t>T925</t>
  </si>
  <si>
    <t>T926</t>
  </si>
  <si>
    <t>T927</t>
  </si>
  <si>
    <t>T928</t>
  </si>
  <si>
    <t>T929</t>
  </si>
  <si>
    <t>T930</t>
  </si>
  <si>
    <t>T931</t>
  </si>
  <si>
    <t>T932</t>
  </si>
  <si>
    <t>T933</t>
  </si>
  <si>
    <t>T934</t>
  </si>
  <si>
    <t>T935</t>
  </si>
  <si>
    <t>T936</t>
  </si>
  <si>
    <t>T937</t>
  </si>
  <si>
    <t>T938</t>
  </si>
  <si>
    <t>T939</t>
  </si>
  <si>
    <t>T940</t>
  </si>
  <si>
    <t>T941</t>
  </si>
  <si>
    <t>T942</t>
  </si>
  <si>
    <t>T943</t>
  </si>
  <si>
    <t>T944</t>
  </si>
  <si>
    <t>T945</t>
  </si>
  <si>
    <t>T946</t>
  </si>
  <si>
    <t>T947</t>
  </si>
  <si>
    <t>T948</t>
  </si>
  <si>
    <t>T949</t>
  </si>
  <si>
    <t>T950</t>
  </si>
  <si>
    <t>T951</t>
  </si>
  <si>
    <t>T952</t>
  </si>
  <si>
    <t>T953</t>
  </si>
  <si>
    <t>T954</t>
  </si>
  <si>
    <t>T955</t>
  </si>
  <si>
    <t>T956</t>
  </si>
  <si>
    <t>T957</t>
  </si>
  <si>
    <t>T958</t>
  </si>
  <si>
    <t>T959</t>
  </si>
  <si>
    <t>T960</t>
  </si>
  <si>
    <t>T961</t>
  </si>
  <si>
    <t>T962</t>
  </si>
  <si>
    <t>T963</t>
  </si>
  <si>
    <t>T964</t>
  </si>
  <si>
    <t>T965</t>
  </si>
  <si>
    <t>T966</t>
  </si>
  <si>
    <t>T967</t>
  </si>
  <si>
    <t>T968</t>
  </si>
  <si>
    <t>T969</t>
  </si>
  <si>
    <t>T970</t>
  </si>
  <si>
    <t>T971</t>
  </si>
  <si>
    <t>T972</t>
  </si>
  <si>
    <t>T973</t>
  </si>
  <si>
    <t>T974</t>
  </si>
  <si>
    <t>T975</t>
  </si>
  <si>
    <t>T976</t>
  </si>
  <si>
    <t>T977</t>
  </si>
  <si>
    <t>T978</t>
  </si>
  <si>
    <t>T979</t>
  </si>
  <si>
    <t>T980</t>
  </si>
  <si>
    <t>T981</t>
  </si>
  <si>
    <t>T982</t>
  </si>
  <si>
    <t>T983</t>
  </si>
  <si>
    <t>T984</t>
  </si>
  <si>
    <t>T985</t>
  </si>
  <si>
    <t>T986</t>
  </si>
  <si>
    <t>T987</t>
  </si>
  <si>
    <t>T988</t>
  </si>
  <si>
    <t>T989</t>
  </si>
  <si>
    <t>T990</t>
  </si>
  <si>
    <t>T991</t>
  </si>
  <si>
    <t>T992</t>
  </si>
  <si>
    <t>T993</t>
  </si>
  <si>
    <t>T994</t>
  </si>
  <si>
    <t>T995</t>
  </si>
  <si>
    <t>T996</t>
  </si>
  <si>
    <t>T997</t>
  </si>
  <si>
    <t>T998</t>
  </si>
  <si>
    <t>T999</t>
  </si>
  <si>
    <t>T1000</t>
  </si>
  <si>
    <t>T1001</t>
  </si>
  <si>
    <t>T1002</t>
  </si>
  <si>
    <t>T1003</t>
  </si>
  <si>
    <t>T1004</t>
  </si>
  <si>
    <t>T1005</t>
  </si>
  <si>
    <t>T1006</t>
  </si>
  <si>
    <t>T1007</t>
  </si>
  <si>
    <t>T1008</t>
  </si>
  <si>
    <t>T1009</t>
  </si>
  <si>
    <t>T1010</t>
  </si>
  <si>
    <t>T1011</t>
  </si>
  <si>
    <t>T1012</t>
  </si>
  <si>
    <t>T1013</t>
  </si>
  <si>
    <t>T1014</t>
  </si>
  <si>
    <t>T1015</t>
  </si>
  <si>
    <t>T1016</t>
  </si>
  <si>
    <t>T1017</t>
  </si>
  <si>
    <t>T1018</t>
  </si>
  <si>
    <t>T1019</t>
  </si>
  <si>
    <t>T1020</t>
  </si>
  <si>
    <t>T1021</t>
  </si>
  <si>
    <t>T1022</t>
  </si>
  <si>
    <t>T1023</t>
  </si>
  <si>
    <t>T1024</t>
  </si>
  <si>
    <t>T1025</t>
  </si>
  <si>
    <t>T1026</t>
  </si>
  <si>
    <t>T1027</t>
  </si>
  <si>
    <t>T1028</t>
  </si>
  <si>
    <t>T1029</t>
  </si>
  <si>
    <t>T1030</t>
  </si>
  <si>
    <t>T1031</t>
  </si>
  <si>
    <t>T1032</t>
  </si>
  <si>
    <t>T1033</t>
  </si>
  <si>
    <t>T1034</t>
  </si>
  <si>
    <t>T1035</t>
  </si>
  <si>
    <t>T1036</t>
  </si>
  <si>
    <t>T1037</t>
  </si>
  <si>
    <t>T1038</t>
  </si>
  <si>
    <t>T1039</t>
  </si>
  <si>
    <t>T1040</t>
  </si>
  <si>
    <t>T1041</t>
  </si>
  <si>
    <t>T1042</t>
  </si>
  <si>
    <t>T1043</t>
  </si>
  <si>
    <t>T1044</t>
  </si>
  <si>
    <t>T1045</t>
  </si>
  <si>
    <t>T1046</t>
  </si>
  <si>
    <t>T1047</t>
  </si>
  <si>
    <t>T1048</t>
  </si>
  <si>
    <t>T1049</t>
  </si>
  <si>
    <t>T1050</t>
  </si>
  <si>
    <t>T1051</t>
  </si>
  <si>
    <t>T1052</t>
  </si>
  <si>
    <t>T1053</t>
  </si>
  <si>
    <t>T1054</t>
  </si>
  <si>
    <t>T1055</t>
  </si>
  <si>
    <t>T1056</t>
  </si>
  <si>
    <t>T1057</t>
  </si>
  <si>
    <t>T1058</t>
  </si>
  <si>
    <t>T1059</t>
  </si>
  <si>
    <t>T1060</t>
  </si>
  <si>
    <t>T1061</t>
  </si>
  <si>
    <t>T1062</t>
  </si>
  <si>
    <t>T1063</t>
  </si>
  <si>
    <t>T1064</t>
  </si>
  <si>
    <t>T1065</t>
  </si>
  <si>
    <t>T1066</t>
  </si>
  <si>
    <t>T1067</t>
  </si>
  <si>
    <t>T1068</t>
  </si>
  <si>
    <t>T1069</t>
  </si>
  <si>
    <t>T1070</t>
  </si>
  <si>
    <t>T1071</t>
  </si>
  <si>
    <t>T1072</t>
  </si>
  <si>
    <t>T1073</t>
  </si>
  <si>
    <t>T1074</t>
  </si>
  <si>
    <t>T1075</t>
  </si>
  <si>
    <t>T1076</t>
  </si>
  <si>
    <t>T1077</t>
  </si>
  <si>
    <t>T1078</t>
  </si>
  <si>
    <t>T1079</t>
  </si>
  <si>
    <t>T1080</t>
  </si>
  <si>
    <t>T1081</t>
  </si>
  <si>
    <t>T1082</t>
  </si>
  <si>
    <t>T1083</t>
  </si>
  <si>
    <t>T1084</t>
  </si>
  <si>
    <t>T1085</t>
  </si>
  <si>
    <t>T1086</t>
  </si>
  <si>
    <t>T1087</t>
  </si>
  <si>
    <t>T1088</t>
  </si>
  <si>
    <t>T1089</t>
  </si>
  <si>
    <t>T1090</t>
  </si>
  <si>
    <t>T1091</t>
  </si>
  <si>
    <t>T1092</t>
  </si>
  <si>
    <t>T1093</t>
  </si>
  <si>
    <t>T1094</t>
  </si>
  <si>
    <t>T1095</t>
  </si>
  <si>
    <t>T1096</t>
  </si>
  <si>
    <t>T1097</t>
  </si>
  <si>
    <t>T1098</t>
  </si>
  <si>
    <t>T1099</t>
  </si>
  <si>
    <t>T1100</t>
  </si>
  <si>
    <t>T1101</t>
  </si>
  <si>
    <t>T1102</t>
  </si>
  <si>
    <t>T1103</t>
  </si>
  <si>
    <t>T1104</t>
  </si>
  <si>
    <t>T1105</t>
  </si>
  <si>
    <t>T1106</t>
  </si>
  <si>
    <t>T1107</t>
  </si>
  <si>
    <t>T1108</t>
  </si>
  <si>
    <t>T1109</t>
  </si>
  <si>
    <t>T1110</t>
  </si>
  <si>
    <t>T1111</t>
  </si>
  <si>
    <t>T1112</t>
  </si>
  <si>
    <t>T1113</t>
  </si>
  <si>
    <t>T1114</t>
  </si>
  <si>
    <t>T1115</t>
  </si>
  <si>
    <t>T1116</t>
  </si>
  <si>
    <t>T1117</t>
  </si>
  <si>
    <t>T1118</t>
  </si>
  <si>
    <t>T1119</t>
  </si>
  <si>
    <t>T1120</t>
  </si>
  <si>
    <t>T1121</t>
  </si>
  <si>
    <t>T1122</t>
  </si>
  <si>
    <t>T1123</t>
  </si>
  <si>
    <t>T1124</t>
  </si>
  <si>
    <t>T1125</t>
  </si>
  <si>
    <t>T1126</t>
  </si>
  <si>
    <t>T1127</t>
  </si>
  <si>
    <t>T1128</t>
  </si>
  <si>
    <t>T1129</t>
  </si>
  <si>
    <t>T1130</t>
  </si>
  <si>
    <t>T1131</t>
  </si>
  <si>
    <t>T1132</t>
  </si>
  <si>
    <t>Row Labels</t>
  </si>
  <si>
    <t>Grand Total</t>
  </si>
  <si>
    <t>Count of Ticket ID</t>
  </si>
  <si>
    <t>Column Labels</t>
  </si>
  <si>
    <t>Count of Status</t>
  </si>
  <si>
    <t>1. Overall SLA%</t>
  </si>
  <si>
    <t>Average of Actual Days</t>
  </si>
  <si>
    <t>(All)</t>
  </si>
  <si>
    <t>target</t>
  </si>
  <si>
    <t>Actual</t>
  </si>
  <si>
    <t>SLA Not Met</t>
  </si>
  <si>
    <t>SLA Met</t>
  </si>
  <si>
    <t>SLA%</t>
  </si>
  <si>
    <t>Pending</t>
  </si>
  <si>
    <t>Total</t>
  </si>
  <si>
    <t>1. SLA% by Month</t>
  </si>
  <si>
    <t>Name</t>
  </si>
  <si>
    <t>Target</t>
  </si>
  <si>
    <t>2. SLA Impact Request Type</t>
  </si>
  <si>
    <t>3. SLA % by Assigned to Person</t>
  </si>
  <si>
    <t>Cont%</t>
  </si>
  <si>
    <t>Count</t>
  </si>
  <si>
    <t>4. Priority Level SLA Impact Count</t>
  </si>
  <si>
    <t>5. Region Level Ticket Count</t>
  </si>
  <si>
    <t>actual</t>
  </si>
  <si>
    <t>not met</t>
  </si>
  <si>
    <t>met</t>
  </si>
  <si>
    <t>6. SLA% by Country</t>
  </si>
  <si>
    <t>Total Tickets</t>
  </si>
  <si>
    <t>Breach Count</t>
  </si>
  <si>
    <t>Overall SLA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</si>
</sst>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5" x14ac:knownFonts="1">
    <font>
      <sz val="11"/>
      <color theme="1"/>
      <name val="Calibri"/>
      <family val="2"/>
      <scheme val="minor"/>
    </font>
    <font>
      <b/>
      <sz val="11"/>
      <color theme="1"/>
      <name val="Calibri"/>
      <family val="2"/>
      <scheme val="minor"/>
    </font>
    <font>
      <sz val="11"/>
      <color rgb="FF002060"/>
      <name val="Calibri"/>
      <family val="2"/>
      <scheme val="minor"/>
    </font>
    <font>
      <sz val="11"/>
      <color theme="1"/>
      <name val="Calibri"/>
      <family val="2"/>
      <scheme val="minor"/>
    </font>
    <font>
      <sz val="11"/>
      <color theme="1"/>
      <name val="Segoe UI Semibold"/>
      <family val="2"/>
    </font>
  </fonts>
  <fills count="10">
    <fill>
      <patternFill patternType="none"/>
    </fill>
    <fill>
      <patternFill patternType="gray125"/>
    </fill>
    <fill>
      <patternFill patternType="solid">
        <fgColor theme="8" tint="-0.499984740745262"/>
        <bgColor indexed="64"/>
      </patternFill>
    </fill>
    <fill>
      <patternFill patternType="solid">
        <fgColor theme="7" tint="0.39997558519241921"/>
        <bgColor indexed="64"/>
      </patternFill>
    </fill>
    <fill>
      <patternFill patternType="solid">
        <fgColor theme="0" tint="-4.9989318521683403E-2"/>
        <bgColor indexed="64"/>
      </patternFill>
    </fill>
    <fill>
      <patternFill patternType="solid">
        <fgColor theme="2"/>
        <bgColor theme="4" tint="0.79998168889431442"/>
      </patternFill>
    </fill>
    <fill>
      <patternFill patternType="solid">
        <fgColor theme="2"/>
        <bgColor indexed="64"/>
      </patternFill>
    </fill>
    <fill>
      <patternFill patternType="solid">
        <fgColor theme="8" tint="0.39997558519241921"/>
        <bgColor indexed="64"/>
      </patternFill>
    </fill>
    <fill>
      <patternFill patternType="solid">
        <fgColor theme="2" tint="-9.9978637043366805E-2"/>
        <bgColor indexed="64"/>
      </patternFill>
    </fill>
    <fill>
      <patternFill patternType="solid">
        <fgColor theme="6" tint="0.59999389629810485"/>
        <bgColor indexed="64"/>
      </patternFill>
    </fill>
  </fills>
  <borders count="4">
    <border>
      <left/>
      <right/>
      <top/>
      <bottom/>
      <diagonal/>
    </border>
    <border>
      <left/>
      <right/>
      <top/>
      <bottom style="thin">
        <color theme="4" tint="0.39997558519241921"/>
      </bottom>
      <diagonal/>
    </border>
    <border>
      <left/>
      <right/>
      <top style="thin">
        <color theme="4" tint="0.39997558519241921"/>
      </top>
      <bottom/>
      <diagonal/>
    </border>
    <border>
      <left style="thin">
        <color indexed="64"/>
      </left>
      <right style="thin">
        <color indexed="64"/>
      </right>
      <top style="thin">
        <color indexed="64"/>
      </top>
      <bottom style="thin">
        <color indexed="64"/>
      </bottom>
      <diagonal/>
    </border>
  </borders>
  <cellStyleXfs count="2">
    <xf numFmtId="0" fontId="0" fillId="0" borderId="0"/>
    <xf numFmtId="9" fontId="3" fillId="0" borderId="0" applyFont="0" applyFill="0" applyBorder="0" applyAlignment="0" applyProtection="0"/>
  </cellStyleXfs>
  <cellXfs count="30">
    <xf numFmtId="0" fontId="0" fillId="0" borderId="0" xfId="0"/>
    <xf numFmtId="14" fontId="0" fillId="0" borderId="0" xfId="0" applyNumberFormat="1"/>
    <xf numFmtId="0" fontId="0" fillId="2" borderId="0" xfId="0" applyFill="1"/>
    <xf numFmtId="0" fontId="0" fillId="0" borderId="0" xfId="0" pivotButton="1"/>
    <xf numFmtId="0" fontId="0" fillId="0" borderId="0" xfId="0" applyAlignment="1">
      <alignment horizontal="left"/>
    </xf>
    <xf numFmtId="10" fontId="0" fillId="0" borderId="0" xfId="0" applyNumberFormat="1"/>
    <xf numFmtId="0" fontId="1" fillId="0" borderId="0" xfId="0" applyFont="1"/>
    <xf numFmtId="0" fontId="0" fillId="4" borderId="0" xfId="0" applyFill="1"/>
    <xf numFmtId="0" fontId="2" fillId="4" borderId="0" xfId="0" applyFont="1" applyFill="1"/>
    <xf numFmtId="0" fontId="1" fillId="0" borderId="1" xfId="0" applyFont="1" applyBorder="1"/>
    <xf numFmtId="0" fontId="1" fillId="0" borderId="2" xfId="0" applyFont="1" applyBorder="1" applyAlignment="1">
      <alignment horizontal="left"/>
    </xf>
    <xf numFmtId="10" fontId="1" fillId="0" borderId="2" xfId="0" applyNumberFormat="1" applyFont="1" applyBorder="1"/>
    <xf numFmtId="0" fontId="1" fillId="0" borderId="0" xfId="0" applyFont="1" applyAlignment="1">
      <alignment horizontal="center"/>
    </xf>
    <xf numFmtId="9" fontId="0" fillId="0" borderId="0" xfId="1" applyFont="1"/>
    <xf numFmtId="0" fontId="0" fillId="0" borderId="3" xfId="0" applyBorder="1"/>
    <xf numFmtId="0" fontId="0" fillId="0" borderId="3" xfId="0" applyBorder="1" applyAlignment="1">
      <alignment horizontal="left"/>
    </xf>
    <xf numFmtId="9" fontId="0" fillId="0" borderId="3" xfId="0" applyNumberFormat="1" applyBorder="1"/>
    <xf numFmtId="9" fontId="0" fillId="0" borderId="3" xfId="1" applyFont="1" applyBorder="1"/>
    <xf numFmtId="9" fontId="0" fillId="0" borderId="3" xfId="1" applyFont="1" applyFill="1" applyBorder="1"/>
    <xf numFmtId="0" fontId="0" fillId="6" borderId="3" xfId="0" applyFill="1" applyBorder="1"/>
    <xf numFmtId="0" fontId="0" fillId="5" borderId="3" xfId="0" applyFill="1" applyBorder="1"/>
    <xf numFmtId="0" fontId="0" fillId="8" borderId="3" xfId="0" applyFill="1" applyBorder="1"/>
    <xf numFmtId="10" fontId="0" fillId="0" borderId="3" xfId="0" applyNumberFormat="1" applyBorder="1"/>
    <xf numFmtId="10" fontId="1" fillId="0" borderId="3" xfId="0" applyNumberFormat="1" applyFont="1" applyBorder="1"/>
    <xf numFmtId="0" fontId="0" fillId="9" borderId="3" xfId="0" applyFill="1" applyBorder="1"/>
    <xf numFmtId="0" fontId="4" fillId="4" borderId="0" xfId="0" applyFont="1" applyFill="1"/>
    <xf numFmtId="0" fontId="1" fillId="3" borderId="0" xfId="0" applyFont="1" applyFill="1" applyAlignment="1">
      <alignment horizontal="center"/>
    </xf>
    <xf numFmtId="0" fontId="0" fillId="3" borderId="0" xfId="0" applyFill="1" applyAlignment="1">
      <alignment horizontal="center"/>
    </xf>
    <xf numFmtId="0" fontId="1" fillId="7" borderId="0" xfId="0" applyFont="1" applyFill="1" applyAlignment="1">
      <alignment horizontal="center"/>
    </xf>
    <xf numFmtId="0" fontId="0" fillId="7" borderId="0" xfId="0" applyFill="1" applyAlignment="1">
      <alignment horizontal="center"/>
    </xf>
  </cellXfs>
  <cellStyles count="2">
    <cellStyle name="Normal" xfId="0" builtinId="0"/>
    <cellStyle name="Percent" xfId="1" builtinId="5"/>
  </cellStyles>
  <dxfs count="14">
    <dxf>
      <numFmt numFmtId="0" formatCode="General"/>
    </dxf>
    <dxf>
      <numFmt numFmtId="0" formatCode="General"/>
    </dxf>
    <dxf>
      <numFmt numFmtId="0" formatCode="General"/>
    </dxf>
    <dxf>
      <numFmt numFmtId="19" formatCode="dd/mm/yyyy"/>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i val="0"/>
        <sz val="11"/>
        <color theme="1"/>
        <name val="Calibri"/>
        <family val="2"/>
        <scheme val="minor"/>
      </font>
      <fill>
        <patternFill patternType="solid">
          <bgColor theme="8"/>
        </patternFill>
      </fill>
      <border>
        <bottom style="thin">
          <color theme="4"/>
        </bottom>
        <vertical/>
        <horizontal/>
      </border>
    </dxf>
    <dxf>
      <fill>
        <patternFill>
          <bgColor theme="0"/>
        </patternFill>
      </fill>
    </dxf>
  </dxfs>
  <tableStyles count="1" defaultTableStyle="TableStyleMedium2" defaultPivotStyle="PivotStyleLight16">
    <tableStyle name="Myslicer" pivot="0" table="0" count="10" xr9:uid="{74FD9A8D-4460-4019-86C4-F0C62B2CCA18}">
      <tableStyleElement type="wholeTable" dxfId="13"/>
      <tableStyleElement type="headerRow" dxfId="12"/>
    </tableStyle>
  </tableStyles>
  <colors>
    <mruColors>
      <color rgb="FF003399"/>
      <color rgb="FFE20000"/>
      <color rgb="FFFF3300"/>
      <color rgb="FFDA2A00"/>
      <color rgb="FFB80000"/>
      <color rgb="FF960000"/>
    </mruColors>
  </colors>
  <extLst>
    <ext xmlns:x14="http://schemas.microsoft.com/office/spreadsheetml/2009/9/main" uri="{46F421CA-312F-682f-3DD2-61675219B42D}">
      <x14:dxfs count="7">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b val="0"/>
            <i val="0"/>
            <sz val="9"/>
            <color rgb="FF000000"/>
            <name val="Segoe UI Semibold"/>
            <family val="2"/>
            <scheme val="none"/>
          </font>
          <fill>
            <patternFill patternType="solid">
              <fgColor indexed="64"/>
              <bgColor theme="8" tint="0.39994506668294322"/>
            </pattern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Myslicer">
          <x14:slicerStyleElements>
            <x14:slicerStyleElement type="unselectedItemWithData" dxfId="6"/>
            <x14:slicerStyleElement type="unselectedItemWithNoData" dxfId="5"/>
            <x14:slicerStyleElement type="selectedItemWithData" dxfId="4"/>
            <x14:slicerStyleElement type="selectedItemWithNoData"/>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tyles" Target="styles.xml"/><Relationship Id="rId5" Type="http://schemas.microsoft.com/office/2007/relationships/slicerCache" Target="slicerCaches/slicerCache1.xml"/><Relationship Id="rId10" Type="http://schemas.openxmlformats.org/officeDocument/2006/relationships/connections" Target="connections.xml"/><Relationship Id="rId4" Type="http://schemas.openxmlformats.org/officeDocument/2006/relationships/pivotCacheDefinition" Target="pivotCache/pivotCacheDefinition1.xml"/><Relationship Id="rId9" Type="http://schemas.openxmlformats.org/officeDocument/2006/relationships/theme" Target="theme/theme1.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'Pivot Table'!$I$7</c:f>
              <c:strCache>
                <c:ptCount val="1"/>
                <c:pt idx="0">
                  <c:v>target</c:v>
                </c:pt>
              </c:strCache>
            </c:strRef>
          </c:tx>
          <c:spPr>
            <a:ln w="28575" cap="rnd">
              <a:solidFill>
                <a:schemeClr val="accent1"/>
              </a:solidFill>
              <a:round/>
            </a:ln>
            <a:effectLst/>
          </c:spPr>
          <c:marker>
            <c:symbol val="none"/>
          </c:marker>
          <c:cat>
            <c:strRef>
              <c:f>'Pivot Table'!$H$8:$H$19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Table'!$I$8:$I$19</c:f>
              <c:numCache>
                <c:formatCode>0%</c:formatCode>
                <c:ptCount val="12"/>
                <c:pt idx="0">
                  <c:v>0.94</c:v>
                </c:pt>
                <c:pt idx="1">
                  <c:v>0.94</c:v>
                </c:pt>
                <c:pt idx="2">
                  <c:v>0.94</c:v>
                </c:pt>
                <c:pt idx="3">
                  <c:v>0.94</c:v>
                </c:pt>
                <c:pt idx="4">
                  <c:v>0.94</c:v>
                </c:pt>
                <c:pt idx="5">
                  <c:v>0.94</c:v>
                </c:pt>
                <c:pt idx="6">
                  <c:v>0.94</c:v>
                </c:pt>
                <c:pt idx="7">
                  <c:v>0.94</c:v>
                </c:pt>
                <c:pt idx="8">
                  <c:v>0.94</c:v>
                </c:pt>
                <c:pt idx="9">
                  <c:v>0.94</c:v>
                </c:pt>
                <c:pt idx="10">
                  <c:v>0.94</c:v>
                </c:pt>
                <c:pt idx="11">
                  <c:v>0.94</c:v>
                </c:pt>
              </c:numCache>
            </c:numRef>
          </c:val>
          <c:smooth val="0"/>
          <c:extLst>
            <c:ext xmlns:c16="http://schemas.microsoft.com/office/drawing/2014/chart" uri="{C3380CC4-5D6E-409C-BE32-E72D297353CC}">
              <c16:uniqueId val="{00000000-3DFB-4F68-AB30-14CD96BD1EF9}"/>
            </c:ext>
          </c:extLst>
        </c:ser>
        <c:ser>
          <c:idx val="1"/>
          <c:order val="1"/>
          <c:tx>
            <c:strRef>
              <c:f>'Pivot Table'!$J$7</c:f>
              <c:strCache>
                <c:ptCount val="1"/>
                <c:pt idx="0">
                  <c:v>Actual</c:v>
                </c:pt>
              </c:strCache>
            </c:strRef>
          </c:tx>
          <c:spPr>
            <a:ln w="28575" cap="rnd">
              <a:solidFill>
                <a:schemeClr val="accent2"/>
              </a:solidFill>
              <a:round/>
            </a:ln>
            <a:effectLst/>
          </c:spPr>
          <c:marker>
            <c:symbol val="none"/>
          </c:marker>
          <c:cat>
            <c:strRef>
              <c:f>'Pivot Table'!$H$8:$H$19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Table'!$J$8:$J$19</c:f>
              <c:numCache>
                <c:formatCode>0%</c:formatCode>
                <c:ptCount val="12"/>
                <c:pt idx="0">
                  <c:v>0.81355932203389836</c:v>
                </c:pt>
                <c:pt idx="1">
                  <c:v>0.94117647058823528</c:v>
                </c:pt>
                <c:pt idx="2">
                  <c:v>0.92233009708737868</c:v>
                </c:pt>
                <c:pt idx="3">
                  <c:v>0.98347107438016534</c:v>
                </c:pt>
                <c:pt idx="4">
                  <c:v>0.94594594594594594</c:v>
                </c:pt>
                <c:pt idx="5">
                  <c:v>0.97619047619047616</c:v>
                </c:pt>
                <c:pt idx="6">
                  <c:v>1</c:v>
                </c:pt>
                <c:pt idx="7">
                  <c:v>0.94117647058823528</c:v>
                </c:pt>
                <c:pt idx="8">
                  <c:v>0.89320388349514568</c:v>
                </c:pt>
                <c:pt idx="9">
                  <c:v>0.98347107438016534</c:v>
                </c:pt>
                <c:pt idx="10">
                  <c:v>0.94594594594594594</c:v>
                </c:pt>
                <c:pt idx="11">
                  <c:v>0.97619047619047616</c:v>
                </c:pt>
              </c:numCache>
            </c:numRef>
          </c:val>
          <c:smooth val="0"/>
          <c:extLst>
            <c:ext xmlns:c16="http://schemas.microsoft.com/office/drawing/2014/chart" uri="{C3380CC4-5D6E-409C-BE32-E72D297353CC}">
              <c16:uniqueId val="{00000001-3DFB-4F68-AB30-14CD96BD1EF9}"/>
            </c:ext>
          </c:extLst>
        </c:ser>
        <c:dLbls>
          <c:showLegendKey val="0"/>
          <c:showVal val="0"/>
          <c:showCatName val="0"/>
          <c:showSerName val="0"/>
          <c:showPercent val="0"/>
          <c:showBubbleSize val="0"/>
        </c:dLbls>
        <c:smooth val="0"/>
        <c:axId val="926557088"/>
        <c:axId val="923575120"/>
      </c:lineChart>
      <c:catAx>
        <c:axId val="9265570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3575120"/>
        <c:crosses val="autoZero"/>
        <c:auto val="1"/>
        <c:lblAlgn val="ctr"/>
        <c:lblOffset val="100"/>
        <c:noMultiLvlLbl val="0"/>
      </c:catAx>
      <c:valAx>
        <c:axId val="92357512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655708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accent1"/>
            </a:solidFill>
            <a:ln>
              <a:noFill/>
            </a:ln>
            <a:effectLst/>
          </c:spPr>
          <c:invertIfNegative val="0"/>
          <c:cat>
            <c:strRef>
              <c:f>'Pivot Table'!$V$8:$V$13</c:f>
              <c:strCache>
                <c:ptCount val="6"/>
                <c:pt idx="0">
                  <c:v>Alice</c:v>
                </c:pt>
                <c:pt idx="1">
                  <c:v>John</c:v>
                </c:pt>
                <c:pt idx="2">
                  <c:v>Mike</c:v>
                </c:pt>
                <c:pt idx="3">
                  <c:v>Nina</c:v>
                </c:pt>
                <c:pt idx="4">
                  <c:v>Robert</c:v>
                </c:pt>
                <c:pt idx="5">
                  <c:v>Sarah</c:v>
                </c:pt>
              </c:strCache>
            </c:strRef>
          </c:cat>
          <c:val>
            <c:numRef>
              <c:f>'Pivot Table'!$W$8:$W$13</c:f>
              <c:numCache>
                <c:formatCode>0%</c:formatCode>
                <c:ptCount val="6"/>
                <c:pt idx="0">
                  <c:v>0.94</c:v>
                </c:pt>
                <c:pt idx="1">
                  <c:v>0.94</c:v>
                </c:pt>
                <c:pt idx="2">
                  <c:v>0.94</c:v>
                </c:pt>
                <c:pt idx="3">
                  <c:v>0.94</c:v>
                </c:pt>
                <c:pt idx="4">
                  <c:v>0.94</c:v>
                </c:pt>
                <c:pt idx="5">
                  <c:v>0.94</c:v>
                </c:pt>
              </c:numCache>
            </c:numRef>
          </c:val>
          <c:extLst>
            <c:ext xmlns:c16="http://schemas.microsoft.com/office/drawing/2014/chart" uri="{C3380CC4-5D6E-409C-BE32-E72D297353CC}">
              <c16:uniqueId val="{00000000-83E5-49DF-AA37-5EF87CFE63A7}"/>
            </c:ext>
          </c:extLst>
        </c:ser>
        <c:ser>
          <c:idx val="1"/>
          <c:order val="1"/>
          <c:spPr>
            <a:solidFill>
              <a:schemeClr val="accent2"/>
            </a:solidFill>
            <a:ln>
              <a:noFill/>
            </a:ln>
            <a:effectLst/>
          </c:spPr>
          <c:invertIfNegative val="0"/>
          <c:cat>
            <c:strRef>
              <c:f>'Pivot Table'!$V$8:$V$13</c:f>
              <c:strCache>
                <c:ptCount val="6"/>
                <c:pt idx="0">
                  <c:v>Alice</c:v>
                </c:pt>
                <c:pt idx="1">
                  <c:v>John</c:v>
                </c:pt>
                <c:pt idx="2">
                  <c:v>Mike</c:v>
                </c:pt>
                <c:pt idx="3">
                  <c:v>Nina</c:v>
                </c:pt>
                <c:pt idx="4">
                  <c:v>Robert</c:v>
                </c:pt>
                <c:pt idx="5">
                  <c:v>Sarah</c:v>
                </c:pt>
              </c:strCache>
            </c:strRef>
          </c:cat>
          <c:val>
            <c:numRef>
              <c:f>'Pivot Table'!$X$8:$X$13</c:f>
              <c:numCache>
                <c:formatCode>0%</c:formatCode>
                <c:ptCount val="6"/>
                <c:pt idx="0">
                  <c:v>0.94827586206896552</c:v>
                </c:pt>
                <c:pt idx="1">
                  <c:v>0.95652173913043481</c:v>
                </c:pt>
                <c:pt idx="2">
                  <c:v>0.97222222222222221</c:v>
                </c:pt>
                <c:pt idx="3">
                  <c:v>0.9285714285714286</c:v>
                </c:pt>
                <c:pt idx="4">
                  <c:v>0.99065420560747663</c:v>
                </c:pt>
                <c:pt idx="5">
                  <c:v>0.8370786516853933</c:v>
                </c:pt>
              </c:numCache>
            </c:numRef>
          </c:val>
          <c:extLst>
            <c:ext xmlns:c16="http://schemas.microsoft.com/office/drawing/2014/chart" uri="{C3380CC4-5D6E-409C-BE32-E72D297353CC}">
              <c16:uniqueId val="{00000001-83E5-49DF-AA37-5EF87CFE63A7}"/>
            </c:ext>
          </c:extLst>
        </c:ser>
        <c:dLbls>
          <c:showLegendKey val="0"/>
          <c:showVal val="0"/>
          <c:showCatName val="0"/>
          <c:showSerName val="0"/>
          <c:showPercent val="0"/>
          <c:showBubbleSize val="0"/>
        </c:dLbls>
        <c:gapWidth val="182"/>
        <c:axId val="926542240"/>
        <c:axId val="923563600"/>
      </c:barChart>
      <c:catAx>
        <c:axId val="9265422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3563600"/>
        <c:crosses val="autoZero"/>
        <c:auto val="1"/>
        <c:lblAlgn val="ctr"/>
        <c:lblOffset val="100"/>
        <c:noMultiLvlLbl val="0"/>
      </c:catAx>
      <c:valAx>
        <c:axId val="923563600"/>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654224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'Pivot Table'!$AE$7:$AE$9</c:f>
              <c:strCache>
                <c:ptCount val="3"/>
                <c:pt idx="0">
                  <c:v>Low</c:v>
                </c:pt>
                <c:pt idx="1">
                  <c:v>Medium</c:v>
                </c:pt>
                <c:pt idx="2">
                  <c:v>High</c:v>
                </c:pt>
              </c:strCache>
            </c:strRef>
          </c:cat>
          <c:val>
            <c:numRef>
              <c:f>'Pivot Table'!$AG$7:$AG$9</c:f>
              <c:numCache>
                <c:formatCode>General</c:formatCode>
                <c:ptCount val="3"/>
                <c:pt idx="0">
                  <c:v>22</c:v>
                </c:pt>
                <c:pt idx="1">
                  <c:v>29</c:v>
                </c:pt>
                <c:pt idx="2">
                  <c:v>16</c:v>
                </c:pt>
              </c:numCache>
            </c:numRef>
          </c:val>
          <c:extLst>
            <c:ext xmlns:c16="http://schemas.microsoft.com/office/drawing/2014/chart" uri="{C3380CC4-5D6E-409C-BE32-E72D297353CC}">
              <c16:uniqueId val="{00000000-1DD8-4FBA-A43A-121DE60B745F}"/>
            </c:ext>
          </c:extLst>
        </c:ser>
        <c:dLbls>
          <c:showLegendKey val="0"/>
          <c:showVal val="0"/>
          <c:showCatName val="0"/>
          <c:showSerName val="0"/>
          <c:showPercent val="0"/>
          <c:showBubbleSize val="0"/>
        </c:dLbls>
        <c:gapWidth val="219"/>
        <c:overlap val="-27"/>
        <c:axId val="926564512"/>
        <c:axId val="923580880"/>
      </c:barChart>
      <c:catAx>
        <c:axId val="9265645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3580880"/>
        <c:crosses val="autoZero"/>
        <c:auto val="1"/>
        <c:lblAlgn val="ctr"/>
        <c:lblOffset val="100"/>
        <c:noMultiLvlLbl val="0"/>
      </c:catAx>
      <c:valAx>
        <c:axId val="9235808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656451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accent1"/>
            </a:solidFill>
            <a:ln>
              <a:noFill/>
            </a:ln>
            <a:effectLst/>
          </c:spPr>
          <c:invertIfNegative val="0"/>
          <c:cat>
            <c:strRef>
              <c:f>'Pivot Table'!$AL$7:$AL$11</c:f>
              <c:strCache>
                <c:ptCount val="5"/>
                <c:pt idx="0">
                  <c:v>Africa</c:v>
                </c:pt>
                <c:pt idx="1">
                  <c:v>Asia</c:v>
                </c:pt>
                <c:pt idx="2">
                  <c:v>Europe</c:v>
                </c:pt>
                <c:pt idx="3">
                  <c:v>North America</c:v>
                </c:pt>
                <c:pt idx="4">
                  <c:v>South America</c:v>
                </c:pt>
              </c:strCache>
            </c:strRef>
          </c:cat>
          <c:val>
            <c:numRef>
              <c:f>'Pivot Table'!$AN$7:$AN$11</c:f>
              <c:numCache>
                <c:formatCode>General</c:formatCode>
                <c:ptCount val="5"/>
                <c:pt idx="0">
                  <c:v>138</c:v>
                </c:pt>
                <c:pt idx="1">
                  <c:v>250</c:v>
                </c:pt>
                <c:pt idx="2">
                  <c:v>192</c:v>
                </c:pt>
                <c:pt idx="3">
                  <c:v>396</c:v>
                </c:pt>
                <c:pt idx="4">
                  <c:v>150</c:v>
                </c:pt>
              </c:numCache>
            </c:numRef>
          </c:val>
          <c:extLst>
            <c:ext xmlns:c16="http://schemas.microsoft.com/office/drawing/2014/chart" uri="{C3380CC4-5D6E-409C-BE32-E72D297353CC}">
              <c16:uniqueId val="{00000000-084E-4D56-8BF9-8B43F474F77F}"/>
            </c:ext>
          </c:extLst>
        </c:ser>
        <c:dLbls>
          <c:showLegendKey val="0"/>
          <c:showVal val="0"/>
          <c:showCatName val="0"/>
          <c:showSerName val="0"/>
          <c:showPercent val="0"/>
          <c:showBubbleSize val="0"/>
        </c:dLbls>
        <c:gapWidth val="182"/>
        <c:axId val="933285984"/>
        <c:axId val="923563120"/>
      </c:barChart>
      <c:catAx>
        <c:axId val="9332859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3563120"/>
        <c:crosses val="autoZero"/>
        <c:auto val="1"/>
        <c:lblAlgn val="ctr"/>
        <c:lblOffset val="100"/>
        <c:noMultiLvlLbl val="0"/>
      </c:catAx>
      <c:valAx>
        <c:axId val="92356312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32859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accent1"/>
            </a:solidFill>
            <a:ln>
              <a:noFill/>
            </a:ln>
            <a:effectLst/>
          </c:spPr>
          <c:invertIfNegative val="0"/>
          <c:cat>
            <c:strRef>
              <c:f>'Pivot Table'!$AU$8:$AU$22</c:f>
              <c:strCache>
                <c:ptCount val="15"/>
                <c:pt idx="0">
                  <c:v>Argentina</c:v>
                </c:pt>
                <c:pt idx="1">
                  <c:v>Brazil</c:v>
                </c:pt>
                <c:pt idx="2">
                  <c:v>Canada</c:v>
                </c:pt>
                <c:pt idx="3">
                  <c:v>Chile</c:v>
                </c:pt>
                <c:pt idx="4">
                  <c:v>China</c:v>
                </c:pt>
                <c:pt idx="5">
                  <c:v>France</c:v>
                </c:pt>
                <c:pt idx="6">
                  <c:v>Germany</c:v>
                </c:pt>
                <c:pt idx="7">
                  <c:v>India</c:v>
                </c:pt>
                <c:pt idx="8">
                  <c:v>Japan</c:v>
                </c:pt>
                <c:pt idx="9">
                  <c:v>Kenya</c:v>
                </c:pt>
                <c:pt idx="10">
                  <c:v>Mexico</c:v>
                </c:pt>
                <c:pt idx="11">
                  <c:v>Nigeria</c:v>
                </c:pt>
                <c:pt idx="12">
                  <c:v>South Africa</c:v>
                </c:pt>
                <c:pt idx="13">
                  <c:v>UK</c:v>
                </c:pt>
                <c:pt idx="14">
                  <c:v>USA</c:v>
                </c:pt>
              </c:strCache>
            </c:strRef>
          </c:cat>
          <c:val>
            <c:numRef>
              <c:f>'Pivot Table'!$AW$8:$AW$22</c:f>
              <c:numCache>
                <c:formatCode>0%</c:formatCode>
                <c:ptCount val="15"/>
                <c:pt idx="0">
                  <c:v>0.9375</c:v>
                </c:pt>
                <c:pt idx="1">
                  <c:v>0.92592592592592593</c:v>
                </c:pt>
                <c:pt idx="2">
                  <c:v>0.98333333333333328</c:v>
                </c:pt>
                <c:pt idx="3">
                  <c:v>0.9375</c:v>
                </c:pt>
                <c:pt idx="4">
                  <c:v>0.96969696969696972</c:v>
                </c:pt>
                <c:pt idx="5">
                  <c:v>0.90476190476190477</c:v>
                </c:pt>
                <c:pt idx="6">
                  <c:v>0.86363636363636365</c:v>
                </c:pt>
                <c:pt idx="7">
                  <c:v>0.87704918032786883</c:v>
                </c:pt>
                <c:pt idx="8">
                  <c:v>0.967741935483871</c:v>
                </c:pt>
                <c:pt idx="9">
                  <c:v>1</c:v>
                </c:pt>
                <c:pt idx="10">
                  <c:v>0.90972222222222221</c:v>
                </c:pt>
                <c:pt idx="11">
                  <c:v>1</c:v>
                </c:pt>
                <c:pt idx="12">
                  <c:v>0.90625</c:v>
                </c:pt>
                <c:pt idx="13">
                  <c:v>0.98809523809523814</c:v>
                </c:pt>
                <c:pt idx="14">
                  <c:v>0.97727272727272729</c:v>
                </c:pt>
              </c:numCache>
            </c:numRef>
          </c:val>
          <c:extLst>
            <c:ext xmlns:c16="http://schemas.microsoft.com/office/drawing/2014/chart" uri="{C3380CC4-5D6E-409C-BE32-E72D297353CC}">
              <c16:uniqueId val="{00000000-F713-4073-A1C9-B1E619970A73}"/>
            </c:ext>
          </c:extLst>
        </c:ser>
        <c:dLbls>
          <c:showLegendKey val="0"/>
          <c:showVal val="0"/>
          <c:showCatName val="0"/>
          <c:showSerName val="0"/>
          <c:showPercent val="0"/>
          <c:showBubbleSize val="0"/>
        </c:dLbls>
        <c:gapWidth val="182"/>
        <c:axId val="933290160"/>
        <c:axId val="923575600"/>
      </c:barChart>
      <c:catAx>
        <c:axId val="9332901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3575600"/>
        <c:crosses val="autoZero"/>
        <c:auto val="1"/>
        <c:lblAlgn val="ctr"/>
        <c:lblOffset val="100"/>
        <c:noMultiLvlLbl val="0"/>
      </c:catAx>
      <c:valAx>
        <c:axId val="923575600"/>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32901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[IT SLA Dataset.xlsx]Pivot Table!PivotTable16</c:name>
    <c:fmtId val="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Table'!$O$6</c:f>
              <c:strCache>
                <c:ptCount val="1"/>
                <c:pt idx="0">
                  <c:v>Total</c:v>
                </c:pt>
              </c:strCache>
            </c:strRef>
          </c:tx>
          <c:spPr>
            <a:solidFill>
              <a:schemeClr val="accent1"/>
            </a:solidFill>
            <a:ln>
              <a:noFill/>
            </a:ln>
            <a:effectLst/>
          </c:spPr>
          <c:invertIfNegative val="0"/>
          <c:cat>
            <c:strRef>
              <c:f>'Pivot Table'!$N$7:$N$15</c:f>
              <c:strCache>
                <c:ptCount val="8"/>
                <c:pt idx="0">
                  <c:v>Printer Issue</c:v>
                </c:pt>
                <c:pt idx="1">
                  <c:v>Email Setup</c:v>
                </c:pt>
                <c:pt idx="2">
                  <c:v>Network Issue</c:v>
                </c:pt>
                <c:pt idx="3">
                  <c:v>Software Install</c:v>
                </c:pt>
                <c:pt idx="4">
                  <c:v>Server Downtime</c:v>
                </c:pt>
                <c:pt idx="5">
                  <c:v>Password Reset</c:v>
                </c:pt>
                <c:pt idx="6">
                  <c:v>VPN Access</c:v>
                </c:pt>
                <c:pt idx="7">
                  <c:v>Access Request</c:v>
                </c:pt>
              </c:strCache>
            </c:strRef>
          </c:cat>
          <c:val>
            <c:numRef>
              <c:f>'Pivot Table'!$O$7:$O$15</c:f>
              <c:numCache>
                <c:formatCode>General</c:formatCode>
                <c:ptCount val="8"/>
                <c:pt idx="0">
                  <c:v>2</c:v>
                </c:pt>
                <c:pt idx="1">
                  <c:v>3</c:v>
                </c:pt>
                <c:pt idx="2">
                  <c:v>5</c:v>
                </c:pt>
                <c:pt idx="3">
                  <c:v>5</c:v>
                </c:pt>
                <c:pt idx="4">
                  <c:v>8</c:v>
                </c:pt>
                <c:pt idx="5">
                  <c:v>10</c:v>
                </c:pt>
                <c:pt idx="6">
                  <c:v>10</c:v>
                </c:pt>
                <c:pt idx="7">
                  <c:v>24</c:v>
                </c:pt>
              </c:numCache>
            </c:numRef>
          </c:val>
          <c:extLst>
            <c:ext xmlns:c16="http://schemas.microsoft.com/office/drawing/2014/chart" uri="{C3380CC4-5D6E-409C-BE32-E72D297353CC}">
              <c16:uniqueId val="{00000000-7FD5-4CE0-B7C6-C5454F83B68A}"/>
            </c:ext>
          </c:extLst>
        </c:ser>
        <c:dLbls>
          <c:showLegendKey val="0"/>
          <c:showVal val="0"/>
          <c:showCatName val="0"/>
          <c:showSerName val="0"/>
          <c:showPercent val="0"/>
          <c:showBubbleSize val="0"/>
        </c:dLbls>
        <c:gapWidth val="182"/>
        <c:axId val="926533424"/>
        <c:axId val="923557360"/>
      </c:barChart>
      <c:catAx>
        <c:axId val="9265334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3557360"/>
        <c:crosses val="autoZero"/>
        <c:auto val="1"/>
        <c:lblAlgn val="ctr"/>
        <c:lblOffset val="100"/>
        <c:noMultiLvlLbl val="0"/>
      </c:catAx>
      <c:valAx>
        <c:axId val="92355736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65334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rgbClr val="003399"/>
                </a:solidFill>
              </a:rPr>
              <a:t>SLA% by Monthly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'Pivot Table'!$I$7</c:f>
              <c:strCache>
                <c:ptCount val="1"/>
                <c:pt idx="0">
                  <c:v>target</c:v>
                </c:pt>
              </c:strCache>
            </c:strRef>
          </c:tx>
          <c:spPr>
            <a:ln w="28575" cap="rnd">
              <a:solidFill>
                <a:srgbClr val="003399"/>
              </a:solidFill>
              <a:round/>
            </a:ln>
            <a:effectLst/>
          </c:spPr>
          <c:marker>
            <c:symbol val="none"/>
          </c:marker>
          <c:dLbls>
            <c:delete val="1"/>
          </c:dLbls>
          <c:cat>
            <c:strRef>
              <c:f>'Pivot Table'!$H$8:$H$19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Table'!$I$8:$I$19</c:f>
              <c:numCache>
                <c:formatCode>0%</c:formatCode>
                <c:ptCount val="12"/>
                <c:pt idx="0">
                  <c:v>0.94</c:v>
                </c:pt>
                <c:pt idx="1">
                  <c:v>0.94</c:v>
                </c:pt>
                <c:pt idx="2">
                  <c:v>0.94</c:v>
                </c:pt>
                <c:pt idx="3">
                  <c:v>0.94</c:v>
                </c:pt>
                <c:pt idx="4">
                  <c:v>0.94</c:v>
                </c:pt>
                <c:pt idx="5">
                  <c:v>0.94</c:v>
                </c:pt>
                <c:pt idx="6">
                  <c:v>0.94</c:v>
                </c:pt>
                <c:pt idx="7">
                  <c:v>0.94</c:v>
                </c:pt>
                <c:pt idx="8">
                  <c:v>0.94</c:v>
                </c:pt>
                <c:pt idx="9">
                  <c:v>0.94</c:v>
                </c:pt>
                <c:pt idx="10">
                  <c:v>0.94</c:v>
                </c:pt>
                <c:pt idx="11">
                  <c:v>0.94</c:v>
                </c:pt>
              </c:numCache>
            </c:numRef>
          </c:val>
          <c:smooth val="0"/>
          <c:extLst>
            <c:ext xmlns:c16="http://schemas.microsoft.com/office/drawing/2014/chart" uri="{C3380CC4-5D6E-409C-BE32-E72D297353CC}">
              <c16:uniqueId val="{00000000-CA4D-481D-B007-7BDEA45F3081}"/>
            </c:ext>
          </c:extLst>
        </c:ser>
        <c:ser>
          <c:idx val="1"/>
          <c:order val="1"/>
          <c:tx>
            <c:strRef>
              <c:f>'Pivot Table'!$J$7</c:f>
              <c:strCache>
                <c:ptCount val="1"/>
                <c:pt idx="0">
                  <c:v>Actual</c:v>
                </c:pt>
              </c:strCache>
            </c:strRef>
          </c:tx>
          <c:spPr>
            <a:ln w="28575" cap="rnd">
              <a:solidFill>
                <a:srgbClr val="E20000"/>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Table'!$H$8:$H$19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Table'!$J$8:$J$19</c:f>
              <c:numCache>
                <c:formatCode>0%</c:formatCode>
                <c:ptCount val="12"/>
                <c:pt idx="0">
                  <c:v>0.81355932203389836</c:v>
                </c:pt>
                <c:pt idx="1">
                  <c:v>0.94117647058823528</c:v>
                </c:pt>
                <c:pt idx="2">
                  <c:v>0.92233009708737868</c:v>
                </c:pt>
                <c:pt idx="3">
                  <c:v>0.98347107438016534</c:v>
                </c:pt>
                <c:pt idx="4">
                  <c:v>0.94594594594594594</c:v>
                </c:pt>
                <c:pt idx="5">
                  <c:v>0.97619047619047616</c:v>
                </c:pt>
                <c:pt idx="6">
                  <c:v>1</c:v>
                </c:pt>
                <c:pt idx="7">
                  <c:v>0.94117647058823528</c:v>
                </c:pt>
                <c:pt idx="8">
                  <c:v>0.89320388349514568</c:v>
                </c:pt>
                <c:pt idx="9">
                  <c:v>0.98347107438016534</c:v>
                </c:pt>
                <c:pt idx="10">
                  <c:v>0.94594594594594594</c:v>
                </c:pt>
                <c:pt idx="11">
                  <c:v>0.97619047619047616</c:v>
                </c:pt>
              </c:numCache>
            </c:numRef>
          </c:val>
          <c:smooth val="0"/>
          <c:extLst>
            <c:ext xmlns:c16="http://schemas.microsoft.com/office/drawing/2014/chart" uri="{C3380CC4-5D6E-409C-BE32-E72D297353CC}">
              <c16:uniqueId val="{00000001-CA4D-481D-B007-7BDEA45F3081}"/>
            </c:ext>
          </c:extLst>
        </c:ser>
        <c:dLbls>
          <c:dLblPos val="t"/>
          <c:showLegendKey val="0"/>
          <c:showVal val="1"/>
          <c:showCatName val="0"/>
          <c:showSerName val="0"/>
          <c:showPercent val="0"/>
          <c:showBubbleSize val="0"/>
        </c:dLbls>
        <c:smooth val="0"/>
        <c:axId val="926557088"/>
        <c:axId val="923575120"/>
      </c:lineChart>
      <c:catAx>
        <c:axId val="9265570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3575120"/>
        <c:crosses val="autoZero"/>
        <c:auto val="1"/>
        <c:lblAlgn val="ctr"/>
        <c:lblOffset val="100"/>
        <c:noMultiLvlLbl val="0"/>
      </c:catAx>
      <c:valAx>
        <c:axId val="923575120"/>
        <c:scaling>
          <c:orientation val="minMax"/>
          <c:min val="0.70000000000000007"/>
        </c:scaling>
        <c:delete val="1"/>
        <c:axPos val="l"/>
        <c:numFmt formatCode="0%" sourceLinked="1"/>
        <c:majorTickMark val="none"/>
        <c:minorTickMark val="none"/>
        <c:tickLblPos val="nextTo"/>
        <c:crossAx val="92655708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a:solidFill>
                  <a:srgbClr val="003399"/>
                </a:solidFill>
                <a:latin typeface="+mn-lt"/>
                <a:ea typeface="Segoe UI Black" panose="020B0A02040204020203" pitchFamily="34" charset="0"/>
              </a:rPr>
              <a:t>Ticket Volume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doughnutChart>
        <c:varyColors val="1"/>
        <c:ser>
          <c:idx val="0"/>
          <c:order val="0"/>
          <c:spPr>
            <a:ln>
              <a:noFill/>
            </a:ln>
          </c:spPr>
          <c:dPt>
            <c:idx val="0"/>
            <c:bubble3D val="0"/>
            <c:spPr>
              <a:solidFill>
                <a:schemeClr val="accent5">
                  <a:lumMod val="20000"/>
                  <a:lumOff val="80000"/>
                </a:schemeClr>
              </a:solidFill>
              <a:ln w="19050">
                <a:noFill/>
              </a:ln>
              <a:effectLst/>
            </c:spPr>
            <c:extLst>
              <c:ext xmlns:c16="http://schemas.microsoft.com/office/drawing/2014/chart" uri="{C3380CC4-5D6E-409C-BE32-E72D297353CC}">
                <c16:uniqueId val="{00000001-DE32-4E8C-9D73-A8D75DB5D872}"/>
              </c:ext>
            </c:extLst>
          </c:dPt>
          <c:dPt>
            <c:idx val="1"/>
            <c:bubble3D val="0"/>
            <c:spPr>
              <a:solidFill>
                <a:srgbClr val="003399"/>
              </a:solidFill>
              <a:ln w="19050">
                <a:noFill/>
              </a:ln>
              <a:effectLst/>
            </c:spPr>
            <c:extLst>
              <c:ext xmlns:c16="http://schemas.microsoft.com/office/drawing/2014/chart" uri="{C3380CC4-5D6E-409C-BE32-E72D297353CC}">
                <c16:uniqueId val="{00000003-DE32-4E8C-9D73-A8D75DB5D872}"/>
              </c:ext>
            </c:extLst>
          </c:dPt>
          <c:dPt>
            <c:idx val="2"/>
            <c:bubble3D val="0"/>
            <c:spPr>
              <a:solidFill>
                <a:schemeClr val="accent5">
                  <a:lumMod val="60000"/>
                  <a:lumOff val="40000"/>
                </a:schemeClr>
              </a:solidFill>
              <a:ln w="19050">
                <a:noFill/>
              </a:ln>
              <a:effectLst/>
            </c:spPr>
            <c:extLst>
              <c:ext xmlns:c16="http://schemas.microsoft.com/office/drawing/2014/chart" uri="{C3380CC4-5D6E-409C-BE32-E72D297353CC}">
                <c16:uniqueId val="{00000005-DE32-4E8C-9D73-A8D75DB5D872}"/>
              </c:ext>
            </c:extLst>
          </c:dPt>
          <c:dPt>
            <c:idx val="3"/>
            <c:bubble3D val="0"/>
            <c:spPr>
              <a:solidFill>
                <a:schemeClr val="accent5">
                  <a:lumMod val="75000"/>
                </a:schemeClr>
              </a:solidFill>
              <a:ln w="19050">
                <a:noFill/>
              </a:ln>
              <a:effectLst/>
            </c:spPr>
            <c:extLst>
              <c:ext xmlns:c16="http://schemas.microsoft.com/office/drawing/2014/chart" uri="{C3380CC4-5D6E-409C-BE32-E72D297353CC}">
                <c16:uniqueId val="{00000007-DE32-4E8C-9D73-A8D75DB5D872}"/>
              </c:ext>
            </c:extLst>
          </c:dPt>
          <c:dPt>
            <c:idx val="4"/>
            <c:bubble3D val="0"/>
            <c:spPr>
              <a:solidFill>
                <a:schemeClr val="accent5"/>
              </a:solidFill>
              <a:ln w="19050">
                <a:noFill/>
              </a:ln>
              <a:effectLst/>
            </c:spPr>
            <c:extLst>
              <c:ext xmlns:c16="http://schemas.microsoft.com/office/drawing/2014/chart" uri="{C3380CC4-5D6E-409C-BE32-E72D297353CC}">
                <c16:uniqueId val="{00000009-DE32-4E8C-9D73-A8D75DB5D872}"/>
              </c:ext>
            </c:extLst>
          </c:dPt>
          <c:dLbls>
            <c:dLbl>
              <c:idx val="0"/>
              <c:layout>
                <c:manualLayout>
                  <c:x val="0.17811736833965547"/>
                  <c:y val="-5.0595352410217023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ln>
                        <a:noFill/>
                      </a:ln>
                      <a:solidFill>
                        <a:schemeClr val="tx1"/>
                      </a:solidFill>
                      <a:latin typeface="Aptos Display" panose="020B0004020202020204" pitchFamily="34" charset="0"/>
                      <a:ea typeface="Segoe UI Black" panose="020B0A02040204020203" pitchFamily="34" charset="0"/>
                      <a:cs typeface="Arial" panose="020B0604020202020204" pitchFamily="34" charset="0"/>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17385051483949121"/>
                      <c:h val="0.22851893513310839"/>
                    </c:manualLayout>
                  </c15:layout>
                </c:ext>
                <c:ext xmlns:c16="http://schemas.microsoft.com/office/drawing/2014/chart" uri="{C3380CC4-5D6E-409C-BE32-E72D297353CC}">
                  <c16:uniqueId val="{00000001-DE32-4E8C-9D73-A8D75DB5D872}"/>
                </c:ext>
              </c:extLst>
            </c:dLbl>
            <c:dLbl>
              <c:idx val="1"/>
              <c:layout>
                <c:manualLayout>
                  <c:x val="0.13155808600847971"/>
                  <c:y val="3.6730877390326155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ln>
                        <a:noFill/>
                      </a:ln>
                      <a:solidFill>
                        <a:schemeClr val="tx1"/>
                      </a:solidFill>
                      <a:latin typeface="Aptos Display" panose="020B0004020202020204" pitchFamily="34" charset="0"/>
                      <a:ea typeface="Segoe UI Black" panose="020B0A02040204020203" pitchFamily="34" charset="0"/>
                      <a:cs typeface="Arial" panose="020B0604020202020204" pitchFamily="34" charset="0"/>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13595509792045224"/>
                      <c:h val="0.28325224971878515"/>
                    </c:manualLayout>
                  </c15:layout>
                </c:ext>
                <c:ext xmlns:c16="http://schemas.microsoft.com/office/drawing/2014/chart" uri="{C3380CC4-5D6E-409C-BE32-E72D297353CC}">
                  <c16:uniqueId val="{00000003-DE32-4E8C-9D73-A8D75DB5D872}"/>
                </c:ext>
              </c:extLst>
            </c:dLbl>
            <c:dLbl>
              <c:idx val="2"/>
              <c:layout>
                <c:manualLayout>
                  <c:x val="0.15894039735099327"/>
                  <c:y val="5.5749128919860627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DE32-4E8C-9D73-A8D75DB5D872}"/>
                </c:ext>
              </c:extLst>
            </c:dLbl>
            <c:dLbl>
              <c:idx val="3"/>
              <c:layout>
                <c:manualLayout>
                  <c:x val="-0.14600767211790833"/>
                  <c:y val="0.14992012484925857"/>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7-DE32-4E8C-9D73-A8D75DB5D872}"/>
                </c:ext>
              </c:extLst>
            </c:dLbl>
            <c:dLbl>
              <c:idx val="4"/>
              <c:layout>
                <c:manualLayout>
                  <c:x val="-0.22667857602677996"/>
                  <c:y val="4.5169655414908583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9-DE32-4E8C-9D73-A8D75DB5D872}"/>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ln>
                      <a:noFill/>
                    </a:ln>
                    <a:solidFill>
                      <a:schemeClr val="tx1"/>
                    </a:solidFill>
                    <a:latin typeface="Aptos Display" panose="020B0004020202020204" pitchFamily="34" charset="0"/>
                    <a:ea typeface="Segoe UI Black" panose="020B0A02040204020203" pitchFamily="34" charset="0"/>
                    <a:cs typeface="Arial" panose="020B0604020202020204" pitchFamily="34" charset="0"/>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Table'!$AL$7:$AL$11</c:f>
              <c:strCache>
                <c:ptCount val="5"/>
                <c:pt idx="0">
                  <c:v>Africa</c:v>
                </c:pt>
                <c:pt idx="1">
                  <c:v>Asia</c:v>
                </c:pt>
                <c:pt idx="2">
                  <c:v>Europe</c:v>
                </c:pt>
                <c:pt idx="3">
                  <c:v>North America</c:v>
                </c:pt>
                <c:pt idx="4">
                  <c:v>South America</c:v>
                </c:pt>
              </c:strCache>
            </c:strRef>
          </c:cat>
          <c:val>
            <c:numRef>
              <c:f>'Pivot Table'!$AM$7:$AM$11</c:f>
              <c:numCache>
                <c:formatCode>0%</c:formatCode>
                <c:ptCount val="5"/>
                <c:pt idx="0">
                  <c:v>0.12255772646536411</c:v>
                </c:pt>
                <c:pt idx="1">
                  <c:v>0.22202486678507993</c:v>
                </c:pt>
                <c:pt idx="2">
                  <c:v>0.17051509769094139</c:v>
                </c:pt>
                <c:pt idx="3">
                  <c:v>0.35168738898756663</c:v>
                </c:pt>
                <c:pt idx="4">
                  <c:v>0.13321492007104796</c:v>
                </c:pt>
              </c:numCache>
            </c:numRef>
          </c:val>
          <c:extLst>
            <c:ext xmlns:c16="http://schemas.microsoft.com/office/drawing/2014/chart" uri="{C3380CC4-5D6E-409C-BE32-E72D297353CC}">
              <c16:uniqueId val="{0000000A-DE32-4E8C-9D73-A8D75DB5D872}"/>
            </c:ext>
          </c:extLst>
        </c:ser>
        <c:dLbls>
          <c:showLegendKey val="0"/>
          <c:showVal val="1"/>
          <c:showCatName val="0"/>
          <c:showSerName val="0"/>
          <c:showPercent val="0"/>
          <c:showBubbleSize val="0"/>
          <c:showLeaderLines val="1"/>
        </c:dLbls>
        <c:firstSliceAng val="2"/>
        <c:holeSize val="6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[IT SLA Dataset.xlsx]Pivot Table!PivotTable16</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003399"/>
                </a:solidFill>
              </a:rPr>
              <a:t>Breaches</a:t>
            </a:r>
            <a:r>
              <a:rPr lang="en-US" b="1" baseline="0">
                <a:solidFill>
                  <a:srgbClr val="003399"/>
                </a:solidFill>
              </a:rPr>
              <a:t> by Request Type</a:t>
            </a:r>
            <a:endParaRPr lang="en-US" b="1">
              <a:solidFill>
                <a:srgbClr val="003399"/>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E20000"/>
          </a:solidFill>
          <a:ln>
            <a:noFill/>
          </a:ln>
          <a:effectLst/>
        </c:spPr>
      </c:pivotFmt>
    </c:pivotFmts>
    <c:plotArea>
      <c:layout/>
      <c:barChart>
        <c:barDir val="bar"/>
        <c:grouping val="clustered"/>
        <c:varyColors val="0"/>
        <c:ser>
          <c:idx val="0"/>
          <c:order val="0"/>
          <c:tx>
            <c:strRef>
              <c:f>'Pivot Table'!$O$6</c:f>
              <c:strCache>
                <c:ptCount val="1"/>
                <c:pt idx="0">
                  <c:v>Total</c:v>
                </c:pt>
              </c:strCache>
            </c:strRef>
          </c:tx>
          <c:spPr>
            <a:solidFill>
              <a:schemeClr val="accent1"/>
            </a:solidFill>
            <a:ln>
              <a:noFill/>
            </a:ln>
            <a:effectLst/>
          </c:spPr>
          <c:invertIfNegative val="0"/>
          <c:dPt>
            <c:idx val="7"/>
            <c:invertIfNegative val="0"/>
            <c:bubble3D val="0"/>
            <c:spPr>
              <a:solidFill>
                <a:srgbClr val="E20000"/>
              </a:solidFill>
              <a:ln>
                <a:noFill/>
              </a:ln>
              <a:effectLst/>
            </c:spPr>
            <c:extLst>
              <c:ext xmlns:c16="http://schemas.microsoft.com/office/drawing/2014/chart" uri="{C3380CC4-5D6E-409C-BE32-E72D297353CC}">
                <c16:uniqueId val="{00000001-37C4-4750-B498-AFD1D63530E5}"/>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Table'!$N$7:$N$15</c:f>
              <c:strCache>
                <c:ptCount val="8"/>
                <c:pt idx="0">
                  <c:v>Printer Issue</c:v>
                </c:pt>
                <c:pt idx="1">
                  <c:v>Email Setup</c:v>
                </c:pt>
                <c:pt idx="2">
                  <c:v>Network Issue</c:v>
                </c:pt>
                <c:pt idx="3">
                  <c:v>Software Install</c:v>
                </c:pt>
                <c:pt idx="4">
                  <c:v>Server Downtime</c:v>
                </c:pt>
                <c:pt idx="5">
                  <c:v>Password Reset</c:v>
                </c:pt>
                <c:pt idx="6">
                  <c:v>VPN Access</c:v>
                </c:pt>
                <c:pt idx="7">
                  <c:v>Access Request</c:v>
                </c:pt>
              </c:strCache>
            </c:strRef>
          </c:cat>
          <c:val>
            <c:numRef>
              <c:f>'Pivot Table'!$O$7:$O$15</c:f>
              <c:numCache>
                <c:formatCode>General</c:formatCode>
                <c:ptCount val="8"/>
                <c:pt idx="0">
                  <c:v>2</c:v>
                </c:pt>
                <c:pt idx="1">
                  <c:v>3</c:v>
                </c:pt>
                <c:pt idx="2">
                  <c:v>5</c:v>
                </c:pt>
                <c:pt idx="3">
                  <c:v>5</c:v>
                </c:pt>
                <c:pt idx="4">
                  <c:v>8</c:v>
                </c:pt>
                <c:pt idx="5">
                  <c:v>10</c:v>
                </c:pt>
                <c:pt idx="6">
                  <c:v>10</c:v>
                </c:pt>
                <c:pt idx="7">
                  <c:v>24</c:v>
                </c:pt>
              </c:numCache>
            </c:numRef>
          </c:val>
          <c:extLst>
            <c:ext xmlns:c16="http://schemas.microsoft.com/office/drawing/2014/chart" uri="{C3380CC4-5D6E-409C-BE32-E72D297353CC}">
              <c16:uniqueId val="{00000000-37C4-4750-B498-AFD1D63530E5}"/>
            </c:ext>
          </c:extLst>
        </c:ser>
        <c:dLbls>
          <c:dLblPos val="outEnd"/>
          <c:showLegendKey val="0"/>
          <c:showVal val="1"/>
          <c:showCatName val="0"/>
          <c:showSerName val="0"/>
          <c:showPercent val="0"/>
          <c:showBubbleSize val="0"/>
        </c:dLbls>
        <c:gapWidth val="50"/>
        <c:axId val="933275312"/>
        <c:axId val="923671120"/>
      </c:barChart>
      <c:catAx>
        <c:axId val="9332753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3671120"/>
        <c:crosses val="autoZero"/>
        <c:auto val="1"/>
        <c:lblAlgn val="ctr"/>
        <c:lblOffset val="100"/>
        <c:noMultiLvlLbl val="0"/>
      </c:catAx>
      <c:valAx>
        <c:axId val="923671120"/>
        <c:scaling>
          <c:orientation val="minMax"/>
        </c:scaling>
        <c:delete val="1"/>
        <c:axPos val="b"/>
        <c:numFmt formatCode="General" sourceLinked="1"/>
        <c:majorTickMark val="none"/>
        <c:minorTickMark val="none"/>
        <c:tickLblPos val="nextTo"/>
        <c:crossAx val="933275312"/>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baseline="0">
                <a:solidFill>
                  <a:srgbClr val="003399"/>
                </a:solidFill>
              </a:rPr>
              <a:t>Breaches by Priority</a:t>
            </a:r>
            <a:endParaRPr lang="en-IN" b="1">
              <a:solidFill>
                <a:srgbClr val="003399"/>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pieChart>
        <c:varyColors val="1"/>
        <c:ser>
          <c:idx val="0"/>
          <c:order val="0"/>
          <c:spPr>
            <a:ln>
              <a:noFill/>
            </a:ln>
          </c:spPr>
          <c:dPt>
            <c:idx val="0"/>
            <c:bubble3D val="0"/>
            <c:spPr>
              <a:solidFill>
                <a:schemeClr val="accent5">
                  <a:lumMod val="60000"/>
                  <a:lumOff val="40000"/>
                </a:schemeClr>
              </a:solidFill>
              <a:ln w="19050">
                <a:noFill/>
              </a:ln>
              <a:effectLst/>
            </c:spPr>
            <c:extLst>
              <c:ext xmlns:c16="http://schemas.microsoft.com/office/drawing/2014/chart" uri="{C3380CC4-5D6E-409C-BE32-E72D297353CC}">
                <c16:uniqueId val="{00000001-8AD7-4D56-A202-B425BC4B943E}"/>
              </c:ext>
            </c:extLst>
          </c:dPt>
          <c:dPt>
            <c:idx val="1"/>
            <c:bubble3D val="0"/>
            <c:spPr>
              <a:solidFill>
                <a:schemeClr val="accent5">
                  <a:lumMod val="50000"/>
                </a:schemeClr>
              </a:solidFill>
              <a:ln w="19050">
                <a:noFill/>
              </a:ln>
              <a:effectLst/>
            </c:spPr>
            <c:extLst>
              <c:ext xmlns:c16="http://schemas.microsoft.com/office/drawing/2014/chart" uri="{C3380CC4-5D6E-409C-BE32-E72D297353CC}">
                <c16:uniqueId val="{00000003-8AD7-4D56-A202-B425BC4B943E}"/>
              </c:ext>
            </c:extLst>
          </c:dPt>
          <c:dPt>
            <c:idx val="2"/>
            <c:bubble3D val="0"/>
            <c:spPr>
              <a:solidFill>
                <a:schemeClr val="accent5">
                  <a:lumMod val="20000"/>
                  <a:lumOff val="80000"/>
                </a:schemeClr>
              </a:solidFill>
              <a:ln w="19050">
                <a:noFill/>
              </a:ln>
              <a:effectLst/>
            </c:spPr>
            <c:extLst>
              <c:ext xmlns:c16="http://schemas.microsoft.com/office/drawing/2014/chart" uri="{C3380CC4-5D6E-409C-BE32-E72D297353CC}">
                <c16:uniqueId val="{00000005-8AD7-4D56-A202-B425BC4B943E}"/>
              </c:ext>
            </c:extLst>
          </c:dPt>
          <c:dLbls>
            <c:dLbl>
              <c:idx val="0"/>
              <c:layout>
                <c:manualLayout>
                  <c:x val="1.6535130739850926E-2"/>
                  <c:y val="1.4025239832401034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AD7-4D56-A202-B425BC4B943E}"/>
                </c:ext>
              </c:extLst>
            </c:dLbl>
            <c:dLbl>
              <c:idx val="1"/>
              <c:layout>
                <c:manualLayout>
                  <c:x val="-0.10370261539184482"/>
                  <c:y val="-0.10019092603878213"/>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AD7-4D56-A202-B425BC4B943E}"/>
                </c:ext>
              </c:extLst>
            </c:dLbl>
            <c:dLbl>
              <c:idx val="2"/>
              <c:layout>
                <c:manualLayout>
                  <c:x val="2.3090265488831245E-2"/>
                  <c:y val="2.102086188183383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8AD7-4D56-A202-B425BC4B943E}"/>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Aptos Display" panose="020B0004020202020204" pitchFamily="34" charset="0"/>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Table'!$AE$7:$AE$9</c:f>
              <c:strCache>
                <c:ptCount val="3"/>
                <c:pt idx="0">
                  <c:v>Low</c:v>
                </c:pt>
                <c:pt idx="1">
                  <c:v>Medium</c:v>
                </c:pt>
                <c:pt idx="2">
                  <c:v>High</c:v>
                </c:pt>
              </c:strCache>
            </c:strRef>
          </c:cat>
          <c:val>
            <c:numRef>
              <c:f>'Pivot Table'!$AF$7:$AF$9</c:f>
              <c:numCache>
                <c:formatCode>0%</c:formatCode>
                <c:ptCount val="3"/>
                <c:pt idx="0">
                  <c:v>0.32835820895522388</c:v>
                </c:pt>
                <c:pt idx="1">
                  <c:v>0.43283582089552236</c:v>
                </c:pt>
                <c:pt idx="2">
                  <c:v>0.23880597014925373</c:v>
                </c:pt>
              </c:numCache>
            </c:numRef>
          </c:val>
          <c:extLst>
            <c:ext xmlns:c16="http://schemas.microsoft.com/office/drawing/2014/chart" uri="{C3380CC4-5D6E-409C-BE32-E72D297353CC}">
              <c16:uniqueId val="{00000006-8AD7-4D56-A202-B425BC4B943E}"/>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rgbClr val="003399"/>
                </a:solidFill>
              </a:rPr>
              <a:t>SLA% by Assigned Person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dPt>
            <c:idx val="3"/>
            <c:invertIfNegative val="0"/>
            <c:bubble3D val="0"/>
            <c:spPr>
              <a:solidFill>
                <a:srgbClr val="E20000"/>
              </a:solidFill>
              <a:ln>
                <a:noFill/>
              </a:ln>
              <a:effectLst/>
            </c:spPr>
            <c:extLst>
              <c:ext xmlns:c16="http://schemas.microsoft.com/office/drawing/2014/chart" uri="{C3380CC4-5D6E-409C-BE32-E72D297353CC}">
                <c16:uniqueId val="{00000002-6E5E-489E-88F8-FFF0CD6B7A59}"/>
              </c:ext>
            </c:extLst>
          </c:dPt>
          <c:dPt>
            <c:idx val="5"/>
            <c:invertIfNegative val="0"/>
            <c:bubble3D val="0"/>
            <c:spPr>
              <a:solidFill>
                <a:srgbClr val="E20000">
                  <a:alpha val="85098"/>
                </a:srgbClr>
              </a:solidFill>
              <a:ln>
                <a:noFill/>
              </a:ln>
              <a:effectLst/>
            </c:spPr>
            <c:extLst>
              <c:ext xmlns:c16="http://schemas.microsoft.com/office/drawing/2014/chart" uri="{C3380CC4-5D6E-409C-BE32-E72D297353CC}">
                <c16:uniqueId val="{00000001-6E5E-489E-88F8-FFF0CD6B7A59}"/>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Table'!$V$8:$V$13</c:f>
              <c:strCache>
                <c:ptCount val="6"/>
                <c:pt idx="0">
                  <c:v>Alice</c:v>
                </c:pt>
                <c:pt idx="1">
                  <c:v>John</c:v>
                </c:pt>
                <c:pt idx="2">
                  <c:v>Mike</c:v>
                </c:pt>
                <c:pt idx="3">
                  <c:v>Nina</c:v>
                </c:pt>
                <c:pt idx="4">
                  <c:v>Robert</c:v>
                </c:pt>
                <c:pt idx="5">
                  <c:v>Sarah</c:v>
                </c:pt>
              </c:strCache>
            </c:strRef>
          </c:cat>
          <c:val>
            <c:numRef>
              <c:f>'Pivot Table'!$X$8:$X$13</c:f>
              <c:numCache>
                <c:formatCode>0%</c:formatCode>
                <c:ptCount val="6"/>
                <c:pt idx="0">
                  <c:v>0.94827586206896552</c:v>
                </c:pt>
                <c:pt idx="1">
                  <c:v>0.95652173913043481</c:v>
                </c:pt>
                <c:pt idx="2">
                  <c:v>0.97222222222222221</c:v>
                </c:pt>
                <c:pt idx="3">
                  <c:v>0.9285714285714286</c:v>
                </c:pt>
                <c:pt idx="4">
                  <c:v>0.99065420560747663</c:v>
                </c:pt>
                <c:pt idx="5">
                  <c:v>0.8370786516853933</c:v>
                </c:pt>
              </c:numCache>
            </c:numRef>
          </c:val>
          <c:extLst>
            <c:ext xmlns:c16="http://schemas.microsoft.com/office/drawing/2014/chart" uri="{C3380CC4-5D6E-409C-BE32-E72D297353CC}">
              <c16:uniqueId val="{00000000-6E5E-489E-88F8-FFF0CD6B7A59}"/>
            </c:ext>
          </c:extLst>
        </c:ser>
        <c:dLbls>
          <c:showLegendKey val="0"/>
          <c:showVal val="0"/>
          <c:showCatName val="0"/>
          <c:showSerName val="0"/>
          <c:showPercent val="0"/>
          <c:showBubbleSize val="0"/>
        </c:dLbls>
        <c:gapWidth val="70"/>
        <c:overlap val="-27"/>
        <c:axId val="1794194320"/>
        <c:axId val="923566960"/>
      </c:barChart>
      <c:catAx>
        <c:axId val="17941943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3566960"/>
        <c:crosses val="autoZero"/>
        <c:auto val="1"/>
        <c:lblAlgn val="ctr"/>
        <c:lblOffset val="100"/>
        <c:noMultiLvlLbl val="0"/>
      </c:catAx>
      <c:valAx>
        <c:axId val="923566960"/>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419432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solidFill>
                  <a:srgbClr val="003399"/>
                </a:solidFill>
              </a:rPr>
              <a:t>SLA Compliance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barChart>
        <c:barDir val="col"/>
        <c:grouping val="clustered"/>
        <c:varyColors val="0"/>
        <c:ser>
          <c:idx val="0"/>
          <c:order val="0"/>
          <c:spPr>
            <a:solidFill>
              <a:schemeClr val="accent1"/>
            </a:solidFill>
            <a:ln>
              <a:noFill/>
            </a:ln>
            <a:effectLst/>
          </c:spPr>
          <c:invertIfNegative val="0"/>
          <c:dPt>
            <c:idx val="1"/>
            <c:invertIfNegative val="0"/>
            <c:bubble3D val="0"/>
            <c:spPr>
              <a:solidFill>
                <a:srgbClr val="E20000"/>
              </a:solidFill>
              <a:ln>
                <a:noFill/>
              </a:ln>
              <a:effectLst/>
            </c:spPr>
            <c:extLst>
              <c:ext xmlns:c16="http://schemas.microsoft.com/office/drawing/2014/chart" uri="{C3380CC4-5D6E-409C-BE32-E72D297353CC}">
                <c16:uniqueId val="{00000000-331B-4D5B-AC89-D0DE760B861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'Pivot Table'!$AU$8:$AU$22</c15:sqref>
                  </c15:fullRef>
                </c:ext>
              </c:extLst>
              <c:f>('Pivot Table'!$AU$13:$AU$15,'Pivot Table'!$AU$18,'Pivot Table'!$AU$20)</c:f>
              <c:strCache>
                <c:ptCount val="5"/>
                <c:pt idx="0">
                  <c:v>France</c:v>
                </c:pt>
                <c:pt idx="1">
                  <c:v>Germany</c:v>
                </c:pt>
                <c:pt idx="2">
                  <c:v>India</c:v>
                </c:pt>
                <c:pt idx="3">
                  <c:v>Mexico</c:v>
                </c:pt>
                <c:pt idx="4">
                  <c:v>South Africa</c:v>
                </c:pt>
              </c:strCache>
            </c:strRef>
          </c:cat>
          <c:val>
            <c:numRef>
              <c:extLst>
                <c:ext xmlns:c15="http://schemas.microsoft.com/office/drawing/2012/chart" uri="{02D57815-91ED-43cb-92C2-25804820EDAC}">
                  <c15:fullRef>
                    <c15:sqref>'Pivot Table'!$AW$8:$AW$22</c15:sqref>
                  </c15:fullRef>
                </c:ext>
              </c:extLst>
              <c:f>('Pivot Table'!$AW$13:$AW$15,'Pivot Table'!$AW$18,'Pivot Table'!$AW$20)</c:f>
              <c:numCache>
                <c:formatCode>0%</c:formatCode>
                <c:ptCount val="5"/>
                <c:pt idx="0">
                  <c:v>0.90476190476190477</c:v>
                </c:pt>
                <c:pt idx="1">
                  <c:v>0.86363636363636365</c:v>
                </c:pt>
                <c:pt idx="2">
                  <c:v>0.87704918032786883</c:v>
                </c:pt>
                <c:pt idx="3">
                  <c:v>0.90972222222222221</c:v>
                </c:pt>
                <c:pt idx="4">
                  <c:v>0.90625</c:v>
                </c:pt>
              </c:numCache>
            </c:numRef>
          </c:val>
          <c:extLst>
            <c:ext xmlns:c16="http://schemas.microsoft.com/office/drawing/2014/chart" uri="{C3380CC4-5D6E-409C-BE32-E72D297353CC}">
              <c16:uniqueId val="{00000000-C1EB-474C-849D-2FEA310E6DF0}"/>
            </c:ext>
          </c:extLst>
        </c:ser>
        <c:dLbls>
          <c:showLegendKey val="0"/>
          <c:showVal val="0"/>
          <c:showCatName val="0"/>
          <c:showSerName val="0"/>
          <c:showPercent val="0"/>
          <c:showBubbleSize val="0"/>
        </c:dLbls>
        <c:gapWidth val="60"/>
        <c:overlap val="-27"/>
        <c:axId val="926604880"/>
        <c:axId val="923641360"/>
      </c:barChart>
      <c:catAx>
        <c:axId val="926604880"/>
        <c:scaling>
          <c:orientation val="minMax"/>
        </c:scaling>
        <c:delete val="1"/>
        <c:axPos val="b"/>
        <c:numFmt formatCode="General" sourceLinked="1"/>
        <c:majorTickMark val="none"/>
        <c:minorTickMark val="none"/>
        <c:tickLblPos val="nextTo"/>
        <c:crossAx val="923641360"/>
        <c:crosses val="autoZero"/>
        <c:auto val="1"/>
        <c:lblAlgn val="ctr"/>
        <c:lblOffset val="100"/>
        <c:noMultiLvlLbl val="0"/>
      </c:catAx>
      <c:valAx>
        <c:axId val="923641360"/>
        <c:scaling>
          <c:orientation val="minMax"/>
          <c:max val="1.1000000000000001"/>
          <c:min val="0.70000000000000007"/>
        </c:scaling>
        <c:delete val="1"/>
        <c:axPos val="l"/>
        <c:numFmt formatCode="0%" sourceLinked="1"/>
        <c:majorTickMark val="none"/>
        <c:minorTickMark val="none"/>
        <c:tickLblPos val="nextTo"/>
        <c:crossAx val="92660488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4</xdr:col>
      <xdr:colOff>391583</xdr:colOff>
      <xdr:row>22</xdr:row>
      <xdr:rowOff>152400</xdr:rowOff>
    </xdr:from>
    <xdr:to>
      <xdr:col>12</xdr:col>
      <xdr:colOff>243416</xdr:colOff>
      <xdr:row>37</xdr:row>
      <xdr:rowOff>169333</xdr:rowOff>
    </xdr:to>
    <xdr:graphicFrame macro="">
      <xdr:nvGraphicFramePr>
        <xdr:cNvPr id="5" name="Chart 4">
          <a:extLst>
            <a:ext uri="{FF2B5EF4-FFF2-40B4-BE49-F238E27FC236}">
              <a16:creationId xmlns:a16="http://schemas.microsoft.com/office/drawing/2014/main" id="{91E176BF-66BF-74DA-2240-617B0AE00C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306916</xdr:colOff>
      <xdr:row>23</xdr:row>
      <xdr:rowOff>25401</xdr:rowOff>
    </xdr:from>
    <xdr:to>
      <xdr:col>19</xdr:col>
      <xdr:colOff>518583</xdr:colOff>
      <xdr:row>37</xdr:row>
      <xdr:rowOff>52916</xdr:rowOff>
    </xdr:to>
    <xdr:graphicFrame macro="">
      <xdr:nvGraphicFramePr>
        <xdr:cNvPr id="6" name="Chart 5">
          <a:extLst>
            <a:ext uri="{FF2B5EF4-FFF2-40B4-BE49-F238E27FC236}">
              <a16:creationId xmlns:a16="http://schemas.microsoft.com/office/drawing/2014/main" id="{FDF9DCD1-7435-75E8-E9A3-11645F58D2B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20</xdr:col>
      <xdr:colOff>84666</xdr:colOff>
      <xdr:row>23</xdr:row>
      <xdr:rowOff>46568</xdr:rowOff>
    </xdr:from>
    <xdr:to>
      <xdr:col>28</xdr:col>
      <xdr:colOff>222249</xdr:colOff>
      <xdr:row>36</xdr:row>
      <xdr:rowOff>137584</xdr:rowOff>
    </xdr:to>
    <xdr:graphicFrame macro="">
      <xdr:nvGraphicFramePr>
        <xdr:cNvPr id="7" name="Chart 6">
          <a:extLst>
            <a:ext uri="{FF2B5EF4-FFF2-40B4-BE49-F238E27FC236}">
              <a16:creationId xmlns:a16="http://schemas.microsoft.com/office/drawing/2014/main" id="{B972F4F4-29DF-BCE0-4DF0-91045299829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423334</xdr:colOff>
      <xdr:row>40</xdr:row>
      <xdr:rowOff>67733</xdr:rowOff>
    </xdr:from>
    <xdr:to>
      <xdr:col>19</xdr:col>
      <xdr:colOff>137584</xdr:colOff>
      <xdr:row>50</xdr:row>
      <xdr:rowOff>127000</xdr:rowOff>
    </xdr:to>
    <xdr:graphicFrame macro="">
      <xdr:nvGraphicFramePr>
        <xdr:cNvPr id="8" name="Chart 7">
          <a:extLst>
            <a:ext uri="{FF2B5EF4-FFF2-40B4-BE49-F238E27FC236}">
              <a16:creationId xmlns:a16="http://schemas.microsoft.com/office/drawing/2014/main" id="{DF9748B0-23DA-11CE-1FD7-EC4E7A5A13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21</xdr:col>
      <xdr:colOff>74084</xdr:colOff>
      <xdr:row>38</xdr:row>
      <xdr:rowOff>57151</xdr:rowOff>
    </xdr:from>
    <xdr:to>
      <xdr:col>28</xdr:col>
      <xdr:colOff>518584</xdr:colOff>
      <xdr:row>50</xdr:row>
      <xdr:rowOff>63501</xdr:rowOff>
    </xdr:to>
    <xdr:graphicFrame macro="">
      <xdr:nvGraphicFramePr>
        <xdr:cNvPr id="9" name="Chart 8">
          <a:extLst>
            <a:ext uri="{FF2B5EF4-FFF2-40B4-BE49-F238E27FC236}">
              <a16:creationId xmlns:a16="http://schemas.microsoft.com/office/drawing/2014/main" id="{8DC65B0E-DFAC-FAD3-3C3D-BD309A7C16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296334</xdr:colOff>
      <xdr:row>38</xdr:row>
      <xdr:rowOff>99484</xdr:rowOff>
    </xdr:from>
    <xdr:to>
      <xdr:col>13</xdr:col>
      <xdr:colOff>31751</xdr:colOff>
      <xdr:row>53</xdr:row>
      <xdr:rowOff>143934</xdr:rowOff>
    </xdr:to>
    <xdr:graphicFrame macro="">
      <xdr:nvGraphicFramePr>
        <xdr:cNvPr id="10" name="Chart 9">
          <a:extLst>
            <a:ext uri="{FF2B5EF4-FFF2-40B4-BE49-F238E27FC236}">
              <a16:creationId xmlns:a16="http://schemas.microsoft.com/office/drawing/2014/main" id="{F47FC91E-5862-F3A6-489F-FE65EE719EF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57150</xdr:colOff>
      <xdr:row>0</xdr:row>
      <xdr:rowOff>28574</xdr:rowOff>
    </xdr:from>
    <xdr:to>
      <xdr:col>29</xdr:col>
      <xdr:colOff>19050</xdr:colOff>
      <xdr:row>32</xdr:row>
      <xdr:rowOff>4799</xdr:rowOff>
    </xdr:to>
    <xdr:sp macro="" textlink="">
      <xdr:nvSpPr>
        <xdr:cNvPr id="8" name="Rectangle 7">
          <a:extLst>
            <a:ext uri="{FF2B5EF4-FFF2-40B4-BE49-F238E27FC236}">
              <a16:creationId xmlns:a16="http://schemas.microsoft.com/office/drawing/2014/main" id="{8FA6DDCD-92BC-5FA7-8A34-E38110FF6F2E}"/>
            </a:ext>
          </a:extLst>
        </xdr:cNvPr>
        <xdr:cNvSpPr/>
      </xdr:nvSpPr>
      <xdr:spPr>
        <a:xfrm>
          <a:off x="57150" y="28574"/>
          <a:ext cx="17640300" cy="5796000"/>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a:t>
          </a:r>
        </a:p>
      </xdr:txBody>
    </xdr:sp>
    <xdr:clientData/>
  </xdr:twoCellAnchor>
  <xdr:twoCellAnchor>
    <xdr:from>
      <xdr:col>13</xdr:col>
      <xdr:colOff>180975</xdr:colOff>
      <xdr:row>0</xdr:row>
      <xdr:rowOff>76200</xdr:rowOff>
    </xdr:from>
    <xdr:to>
      <xdr:col>16</xdr:col>
      <xdr:colOff>152175</xdr:colOff>
      <xdr:row>5</xdr:row>
      <xdr:rowOff>71325</xdr:rowOff>
    </xdr:to>
    <xdr:grpSp>
      <xdr:nvGrpSpPr>
        <xdr:cNvPr id="9" name="Group 8">
          <a:extLst>
            <a:ext uri="{FF2B5EF4-FFF2-40B4-BE49-F238E27FC236}">
              <a16:creationId xmlns:a16="http://schemas.microsoft.com/office/drawing/2014/main" id="{05D60009-28F5-51DB-2064-A5F5255D362A}"/>
            </a:ext>
          </a:extLst>
        </xdr:cNvPr>
        <xdr:cNvGrpSpPr/>
      </xdr:nvGrpSpPr>
      <xdr:grpSpPr>
        <a:xfrm>
          <a:off x="8105775" y="76200"/>
          <a:ext cx="1800000" cy="900000"/>
          <a:chOff x="168830" y="147139"/>
          <a:chExt cx="1603125" cy="909787"/>
        </a:xfrm>
      </xdr:grpSpPr>
      <xdr:sp macro="" textlink="">
        <xdr:nvSpPr>
          <xdr:cNvPr id="2" name="Rectangle: Rounded Corners 1">
            <a:extLst>
              <a:ext uri="{FF2B5EF4-FFF2-40B4-BE49-F238E27FC236}">
                <a16:creationId xmlns:a16="http://schemas.microsoft.com/office/drawing/2014/main" id="{619D197D-FED1-21A7-E2C2-D9749BC21F99}"/>
              </a:ext>
            </a:extLst>
          </xdr:cNvPr>
          <xdr:cNvSpPr/>
        </xdr:nvSpPr>
        <xdr:spPr>
          <a:xfrm>
            <a:off x="168830" y="147139"/>
            <a:ext cx="1603125" cy="909787"/>
          </a:xfrm>
          <a:prstGeom prst="roundRect">
            <a:avLst/>
          </a:prstGeom>
          <a:solidFill>
            <a:schemeClr val="bg1"/>
          </a:solidFill>
          <a:ln>
            <a:solidFill>
              <a:srgbClr val="00206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baseline="0">
                <a:solidFill>
                  <a:schemeClr val="lt1"/>
                </a:solidFill>
                <a:latin typeface="Calibri" panose="020F0502020204030204" pitchFamily="34" charset="0"/>
                <a:ea typeface="Calibri" panose="020F0502020204030204" pitchFamily="34" charset="0"/>
                <a:cs typeface="Calibri" panose="020F0502020204030204" pitchFamily="34" charset="0"/>
              </a:rPr>
              <a:t>  </a:t>
            </a:r>
            <a:r>
              <a:rPr lang="en-IN" sz="1800" b="1">
                <a:solidFill>
                  <a:srgbClr val="002060"/>
                </a:solidFill>
                <a:latin typeface="Calibri" panose="020F0502020204030204" pitchFamily="34" charset="0"/>
                <a:ea typeface="Calibri" panose="020F0502020204030204" pitchFamily="34" charset="0"/>
                <a:cs typeface="Calibri" panose="020F0502020204030204" pitchFamily="34" charset="0"/>
              </a:rPr>
              <a:t>Overall SLA</a:t>
            </a:r>
          </a:p>
        </xdr:txBody>
      </xdr:sp>
      <xdr:sp macro="" textlink="'Pivot Table'!C26">
        <xdr:nvSpPr>
          <xdr:cNvPr id="3" name="TextBox 2">
            <a:extLst>
              <a:ext uri="{FF2B5EF4-FFF2-40B4-BE49-F238E27FC236}">
                <a16:creationId xmlns:a16="http://schemas.microsoft.com/office/drawing/2014/main" id="{35B4D661-CE32-16BF-54D4-7C5DA9031323}"/>
              </a:ext>
            </a:extLst>
          </xdr:cNvPr>
          <xdr:cNvSpPr txBox="1"/>
        </xdr:nvSpPr>
        <xdr:spPr>
          <a:xfrm>
            <a:off x="679789" y="528063"/>
            <a:ext cx="990601" cy="3399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454ED994-EBC9-4B3F-97E0-319FA65B1673}" type="TxLink">
              <a:rPr lang="en-US" sz="2000" b="1" i="0" u="none" strike="noStrike">
                <a:solidFill>
                  <a:srgbClr val="003399"/>
                </a:solidFill>
                <a:latin typeface="Calibri"/>
                <a:ea typeface="Calibri"/>
                <a:cs typeface="Calibri"/>
              </a:rPr>
              <a:pPr marL="0" indent="0"/>
              <a:t>94%</a:t>
            </a:fld>
            <a:endParaRPr lang="en-IN" sz="2000" b="1" i="0" u="none" strike="noStrike">
              <a:solidFill>
                <a:srgbClr val="003399"/>
              </a:solidFill>
              <a:latin typeface="Calibri"/>
              <a:ea typeface="Calibri"/>
              <a:cs typeface="Calibri"/>
            </a:endParaRPr>
          </a:p>
        </xdr:txBody>
      </xdr:sp>
    </xdr:grpSp>
    <xdr:clientData/>
  </xdr:twoCellAnchor>
  <xdr:twoCellAnchor>
    <xdr:from>
      <xdr:col>16</xdr:col>
      <xdr:colOff>271462</xdr:colOff>
      <xdr:row>0</xdr:row>
      <xdr:rowOff>66675</xdr:rowOff>
    </xdr:from>
    <xdr:to>
      <xdr:col>19</xdr:col>
      <xdr:colOff>242662</xdr:colOff>
      <xdr:row>5</xdr:row>
      <xdr:rowOff>61800</xdr:rowOff>
    </xdr:to>
    <xdr:grpSp>
      <xdr:nvGrpSpPr>
        <xdr:cNvPr id="10" name="Group 9">
          <a:extLst>
            <a:ext uri="{FF2B5EF4-FFF2-40B4-BE49-F238E27FC236}">
              <a16:creationId xmlns:a16="http://schemas.microsoft.com/office/drawing/2014/main" id="{8EEEDCAA-D46E-4196-9DA8-B1EC0AE87CCE}"/>
            </a:ext>
          </a:extLst>
        </xdr:cNvPr>
        <xdr:cNvGrpSpPr/>
      </xdr:nvGrpSpPr>
      <xdr:grpSpPr>
        <a:xfrm>
          <a:off x="10025062" y="66675"/>
          <a:ext cx="1800000" cy="900000"/>
          <a:chOff x="281940" y="270957"/>
          <a:chExt cx="1567501" cy="909787"/>
        </a:xfrm>
      </xdr:grpSpPr>
      <xdr:sp macro="" textlink="">
        <xdr:nvSpPr>
          <xdr:cNvPr id="11" name="Rectangle: Rounded Corners 10">
            <a:extLst>
              <a:ext uri="{FF2B5EF4-FFF2-40B4-BE49-F238E27FC236}">
                <a16:creationId xmlns:a16="http://schemas.microsoft.com/office/drawing/2014/main" id="{598107B3-090A-6CEE-51C3-BF0CB90A8E08}"/>
              </a:ext>
            </a:extLst>
          </xdr:cNvPr>
          <xdr:cNvSpPr/>
        </xdr:nvSpPr>
        <xdr:spPr>
          <a:xfrm>
            <a:off x="281940" y="270957"/>
            <a:ext cx="1567501" cy="909787"/>
          </a:xfrm>
          <a:prstGeom prst="roundRect">
            <a:avLst/>
          </a:prstGeom>
          <a:solidFill>
            <a:schemeClr val="bg1"/>
          </a:solidFill>
          <a:ln>
            <a:solidFill>
              <a:srgbClr val="00206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latin typeface="Calibri" panose="020F0502020204030204" pitchFamily="34" charset="0"/>
                <a:ea typeface="Calibri" panose="020F0502020204030204" pitchFamily="34" charset="0"/>
                <a:cs typeface="Calibri" panose="020F0502020204030204" pitchFamily="34" charset="0"/>
              </a:rPr>
              <a:t>T</a:t>
            </a:r>
            <a:r>
              <a:rPr lang="en-IN" sz="1800" b="1">
                <a:solidFill>
                  <a:srgbClr val="002060"/>
                </a:solidFill>
                <a:latin typeface="Calibri" panose="020F0502020204030204" pitchFamily="34" charset="0"/>
                <a:ea typeface="Calibri" panose="020F0502020204030204" pitchFamily="34" charset="0"/>
                <a:cs typeface="Calibri" panose="020F0502020204030204" pitchFamily="34" charset="0"/>
              </a:rPr>
              <a:t>Total</a:t>
            </a:r>
            <a:r>
              <a:rPr lang="en-IN" sz="1800" b="1" baseline="0">
                <a:solidFill>
                  <a:srgbClr val="002060"/>
                </a:solidFill>
                <a:latin typeface="Calibri" panose="020F0502020204030204" pitchFamily="34" charset="0"/>
                <a:ea typeface="Calibri" panose="020F0502020204030204" pitchFamily="34" charset="0"/>
                <a:cs typeface="Calibri" panose="020F0502020204030204" pitchFamily="34" charset="0"/>
              </a:rPr>
              <a:t> Tickets</a:t>
            </a:r>
            <a:endParaRPr lang="en-IN" sz="1800" b="1">
              <a:solidFill>
                <a:srgbClr val="002060"/>
              </a:solidFill>
              <a:latin typeface="Calibri" panose="020F0502020204030204" pitchFamily="34" charset="0"/>
              <a:ea typeface="Calibri" panose="020F0502020204030204" pitchFamily="34" charset="0"/>
              <a:cs typeface="Calibri" panose="020F0502020204030204" pitchFamily="34" charset="0"/>
            </a:endParaRPr>
          </a:p>
        </xdr:txBody>
      </xdr:sp>
      <xdr:sp macro="" textlink="'Pivot Table'!C24">
        <xdr:nvSpPr>
          <xdr:cNvPr id="12" name="TextBox 11">
            <a:extLst>
              <a:ext uri="{FF2B5EF4-FFF2-40B4-BE49-F238E27FC236}">
                <a16:creationId xmlns:a16="http://schemas.microsoft.com/office/drawing/2014/main" id="{0C0ECEFA-7CFE-E9A1-E10D-CBAB87931B7A}"/>
              </a:ext>
            </a:extLst>
          </xdr:cNvPr>
          <xdr:cNvSpPr txBox="1"/>
        </xdr:nvSpPr>
        <xdr:spPr>
          <a:xfrm>
            <a:off x="773768" y="647623"/>
            <a:ext cx="990600" cy="3399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BE2BAA5D-8AA0-4DED-BFB2-67989EDC328F}" type="TxLink">
              <a:rPr lang="en-US" sz="2000" b="1" i="0" u="none" strike="noStrike">
                <a:solidFill>
                  <a:srgbClr val="003399"/>
                </a:solidFill>
                <a:latin typeface="Calibri"/>
                <a:ea typeface="Calibri"/>
                <a:cs typeface="Calibri"/>
              </a:rPr>
              <a:pPr marL="0" indent="0"/>
              <a:t>1126</a:t>
            </a:fld>
            <a:endParaRPr lang="en-IN" sz="2000" b="1" i="0" u="none" strike="noStrike">
              <a:solidFill>
                <a:srgbClr val="003399"/>
              </a:solidFill>
              <a:latin typeface="Calibri"/>
              <a:ea typeface="Calibri"/>
              <a:cs typeface="Calibri"/>
            </a:endParaRPr>
          </a:p>
        </xdr:txBody>
      </xdr:sp>
    </xdr:grpSp>
    <xdr:clientData/>
  </xdr:twoCellAnchor>
  <xdr:twoCellAnchor>
    <xdr:from>
      <xdr:col>22</xdr:col>
      <xdr:colOff>452436</xdr:colOff>
      <xdr:row>0</xdr:row>
      <xdr:rowOff>66675</xdr:rowOff>
    </xdr:from>
    <xdr:to>
      <xdr:col>25</xdr:col>
      <xdr:colOff>423636</xdr:colOff>
      <xdr:row>5</xdr:row>
      <xdr:rowOff>61800</xdr:rowOff>
    </xdr:to>
    <xdr:grpSp>
      <xdr:nvGrpSpPr>
        <xdr:cNvPr id="13" name="Group 12">
          <a:extLst>
            <a:ext uri="{FF2B5EF4-FFF2-40B4-BE49-F238E27FC236}">
              <a16:creationId xmlns:a16="http://schemas.microsoft.com/office/drawing/2014/main" id="{9A1C91F6-A2DA-4AC8-97CA-F2A45AA7A07C}"/>
            </a:ext>
          </a:extLst>
        </xdr:cNvPr>
        <xdr:cNvGrpSpPr/>
      </xdr:nvGrpSpPr>
      <xdr:grpSpPr>
        <a:xfrm>
          <a:off x="13863636" y="66675"/>
          <a:ext cx="1800000" cy="900000"/>
          <a:chOff x="281939" y="248993"/>
          <a:chExt cx="1814401" cy="909787"/>
        </a:xfrm>
      </xdr:grpSpPr>
      <xdr:sp macro="" textlink="">
        <xdr:nvSpPr>
          <xdr:cNvPr id="14" name="Rectangle: Rounded Corners 13">
            <a:extLst>
              <a:ext uri="{FF2B5EF4-FFF2-40B4-BE49-F238E27FC236}">
                <a16:creationId xmlns:a16="http://schemas.microsoft.com/office/drawing/2014/main" id="{D1DC0B4F-B06A-A83A-5555-8283507A8495}"/>
              </a:ext>
            </a:extLst>
          </xdr:cNvPr>
          <xdr:cNvSpPr/>
        </xdr:nvSpPr>
        <xdr:spPr>
          <a:xfrm>
            <a:off x="281939" y="248993"/>
            <a:ext cx="1750676" cy="909787"/>
          </a:xfrm>
          <a:prstGeom prst="roundRect">
            <a:avLst/>
          </a:prstGeom>
          <a:solidFill>
            <a:schemeClr val="bg1"/>
          </a:solidFill>
          <a:ln>
            <a:solidFill>
              <a:srgbClr val="00206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solidFill>
                  <a:srgbClr val="002060"/>
                </a:solidFill>
                <a:latin typeface="Calibri" panose="020F0502020204030204" pitchFamily="34" charset="0"/>
                <a:ea typeface="Calibri" panose="020F0502020204030204" pitchFamily="34" charset="0"/>
                <a:cs typeface="Calibri" panose="020F0502020204030204" pitchFamily="34" charset="0"/>
              </a:rPr>
              <a:t>Weakest </a:t>
            </a:r>
            <a:r>
              <a:rPr lang="en-IN" sz="1600" b="1" baseline="0">
                <a:solidFill>
                  <a:srgbClr val="002060"/>
                </a:solidFill>
                <a:latin typeface="Calibri" panose="020F0502020204030204" pitchFamily="34" charset="0"/>
                <a:ea typeface="Calibri" panose="020F0502020204030204" pitchFamily="34" charset="0"/>
                <a:cs typeface="Calibri" panose="020F0502020204030204" pitchFamily="34" charset="0"/>
              </a:rPr>
              <a:t>Performer</a:t>
            </a:r>
            <a:endParaRPr lang="en-IN" sz="1600" b="1">
              <a:solidFill>
                <a:srgbClr val="002060"/>
              </a:solidFill>
              <a:latin typeface="Calibri" panose="020F0502020204030204" pitchFamily="34" charset="0"/>
              <a:ea typeface="Calibri" panose="020F0502020204030204" pitchFamily="34" charset="0"/>
              <a:cs typeface="Calibri" panose="020F0502020204030204" pitchFamily="34" charset="0"/>
            </a:endParaRPr>
          </a:p>
        </xdr:txBody>
      </xdr:sp>
      <xdr:sp macro="" textlink="'Pivot Table'!X13">
        <xdr:nvSpPr>
          <xdr:cNvPr id="15" name="TextBox 14">
            <a:extLst>
              <a:ext uri="{FF2B5EF4-FFF2-40B4-BE49-F238E27FC236}">
                <a16:creationId xmlns:a16="http://schemas.microsoft.com/office/drawing/2014/main" id="{35718085-50D2-01D3-0FFB-251992DFE7C0}"/>
              </a:ext>
            </a:extLst>
          </xdr:cNvPr>
          <xdr:cNvSpPr txBox="1"/>
        </xdr:nvSpPr>
        <xdr:spPr>
          <a:xfrm>
            <a:off x="564982" y="811659"/>
            <a:ext cx="1531358" cy="3399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600" b="1" i="0" u="none" strike="noStrike">
                <a:solidFill>
                  <a:srgbClr val="003399"/>
                </a:solidFill>
                <a:latin typeface="Calibri"/>
                <a:ea typeface="Calibri"/>
                <a:cs typeface="Calibri"/>
              </a:rPr>
              <a:t>Sarah, </a:t>
            </a:r>
            <a:fld id="{AE792A30-CCB8-43E3-8E3E-82F1EA7793AA}" type="TxLink">
              <a:rPr lang="en-US" sz="1600" b="1" i="0" u="none" strike="noStrike">
                <a:solidFill>
                  <a:srgbClr val="003399"/>
                </a:solidFill>
                <a:latin typeface="Calibri"/>
                <a:ea typeface="Calibri"/>
                <a:cs typeface="Calibri"/>
              </a:rPr>
              <a:pPr marL="0" indent="0"/>
              <a:t>84%</a:t>
            </a:fld>
            <a:endParaRPr lang="en-IN" sz="1600" b="1" i="0" u="none" strike="noStrike">
              <a:solidFill>
                <a:srgbClr val="003399"/>
              </a:solidFill>
              <a:latin typeface="Calibri"/>
              <a:ea typeface="Calibri"/>
              <a:cs typeface="Calibri"/>
            </a:endParaRPr>
          </a:p>
        </xdr:txBody>
      </xdr:sp>
    </xdr:grpSp>
    <xdr:clientData/>
  </xdr:twoCellAnchor>
  <xdr:twoCellAnchor>
    <xdr:from>
      <xdr:col>19</xdr:col>
      <xdr:colOff>361949</xdr:colOff>
      <xdr:row>0</xdr:row>
      <xdr:rowOff>47625</xdr:rowOff>
    </xdr:from>
    <xdr:to>
      <xdr:col>22</xdr:col>
      <xdr:colOff>333149</xdr:colOff>
      <xdr:row>5</xdr:row>
      <xdr:rowOff>42750</xdr:rowOff>
    </xdr:to>
    <xdr:grpSp>
      <xdr:nvGrpSpPr>
        <xdr:cNvPr id="16" name="Group 15">
          <a:extLst>
            <a:ext uri="{FF2B5EF4-FFF2-40B4-BE49-F238E27FC236}">
              <a16:creationId xmlns:a16="http://schemas.microsoft.com/office/drawing/2014/main" id="{3FA9EE48-BD76-4E78-9A49-81B132B26EB5}"/>
            </a:ext>
          </a:extLst>
        </xdr:cNvPr>
        <xdr:cNvGrpSpPr/>
      </xdr:nvGrpSpPr>
      <xdr:grpSpPr>
        <a:xfrm>
          <a:off x="11944349" y="47625"/>
          <a:ext cx="1800000" cy="900000"/>
          <a:chOff x="281939" y="259975"/>
          <a:chExt cx="1603125" cy="909787"/>
        </a:xfrm>
      </xdr:grpSpPr>
      <xdr:sp macro="" textlink="">
        <xdr:nvSpPr>
          <xdr:cNvPr id="17" name="Rectangle: Rounded Corners 16">
            <a:extLst>
              <a:ext uri="{FF2B5EF4-FFF2-40B4-BE49-F238E27FC236}">
                <a16:creationId xmlns:a16="http://schemas.microsoft.com/office/drawing/2014/main" id="{C15457A7-E0C1-2535-AEC8-F76FE6B2F222}"/>
              </a:ext>
            </a:extLst>
          </xdr:cNvPr>
          <xdr:cNvSpPr/>
        </xdr:nvSpPr>
        <xdr:spPr>
          <a:xfrm>
            <a:off x="281939" y="259975"/>
            <a:ext cx="1603125" cy="909787"/>
          </a:xfrm>
          <a:prstGeom prst="roundRect">
            <a:avLst/>
          </a:prstGeom>
          <a:solidFill>
            <a:schemeClr val="bg1"/>
          </a:solidFill>
          <a:ln>
            <a:solidFill>
              <a:srgbClr val="00206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latin typeface="Calibri" panose="020F0502020204030204" pitchFamily="34" charset="0"/>
                <a:ea typeface="Calibri" panose="020F0502020204030204" pitchFamily="34" charset="0"/>
                <a:cs typeface="Calibri" panose="020F0502020204030204" pitchFamily="34" charset="0"/>
              </a:rPr>
              <a:t>T</a:t>
            </a:r>
            <a:r>
              <a:rPr lang="en-IN" sz="1800" b="1">
                <a:solidFill>
                  <a:srgbClr val="002060"/>
                </a:solidFill>
                <a:latin typeface="Calibri" panose="020F0502020204030204" pitchFamily="34" charset="0"/>
                <a:ea typeface="Calibri" panose="020F0502020204030204" pitchFamily="34" charset="0"/>
                <a:cs typeface="Calibri" panose="020F0502020204030204" pitchFamily="34" charset="0"/>
              </a:rPr>
              <a:t>Breach</a:t>
            </a:r>
            <a:r>
              <a:rPr lang="en-IN" sz="1800" b="1" baseline="0">
                <a:solidFill>
                  <a:srgbClr val="002060"/>
                </a:solidFill>
                <a:latin typeface="Calibri" panose="020F0502020204030204" pitchFamily="34" charset="0"/>
                <a:ea typeface="Calibri" panose="020F0502020204030204" pitchFamily="34" charset="0"/>
                <a:cs typeface="Calibri" panose="020F0502020204030204" pitchFamily="34" charset="0"/>
              </a:rPr>
              <a:t> Count</a:t>
            </a:r>
            <a:endParaRPr lang="en-IN" sz="1800" b="1">
              <a:solidFill>
                <a:srgbClr val="002060"/>
              </a:solidFill>
              <a:latin typeface="Calibri" panose="020F0502020204030204" pitchFamily="34" charset="0"/>
              <a:ea typeface="Calibri" panose="020F0502020204030204" pitchFamily="34" charset="0"/>
              <a:cs typeface="Calibri" panose="020F0502020204030204" pitchFamily="34" charset="0"/>
            </a:endParaRPr>
          </a:p>
        </xdr:txBody>
      </xdr:sp>
      <xdr:sp macro="" textlink="'Pivot Table'!C25">
        <xdr:nvSpPr>
          <xdr:cNvPr id="18" name="TextBox 17">
            <a:extLst>
              <a:ext uri="{FF2B5EF4-FFF2-40B4-BE49-F238E27FC236}">
                <a16:creationId xmlns:a16="http://schemas.microsoft.com/office/drawing/2014/main" id="{BC21CAE6-7EAB-D3A2-F405-55404FA5204D}"/>
              </a:ext>
            </a:extLst>
          </xdr:cNvPr>
          <xdr:cNvSpPr txBox="1"/>
        </xdr:nvSpPr>
        <xdr:spPr>
          <a:xfrm>
            <a:off x="847670" y="637580"/>
            <a:ext cx="990600" cy="3399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7F7CECD6-903A-4984-B42D-80F9ABDA9E80}" type="TxLink">
              <a:rPr lang="en-US" sz="2000" b="1" i="0" u="none" strike="noStrike">
                <a:solidFill>
                  <a:srgbClr val="003399"/>
                </a:solidFill>
                <a:latin typeface="Calibri"/>
                <a:ea typeface="Calibri"/>
                <a:cs typeface="Calibri"/>
              </a:rPr>
              <a:pPr marL="0" indent="0"/>
              <a:t>67</a:t>
            </a:fld>
            <a:endParaRPr lang="en-IN" sz="2000" b="1" i="0" u="none" strike="noStrike">
              <a:solidFill>
                <a:srgbClr val="003399"/>
              </a:solidFill>
              <a:latin typeface="Calibri"/>
              <a:ea typeface="Calibri"/>
              <a:cs typeface="Calibri"/>
            </a:endParaRPr>
          </a:p>
        </xdr:txBody>
      </xdr:sp>
    </xdr:grpSp>
    <xdr:clientData/>
  </xdr:twoCellAnchor>
  <xdr:twoCellAnchor>
    <xdr:from>
      <xdr:col>25</xdr:col>
      <xdr:colOff>542925</xdr:colOff>
      <xdr:row>0</xdr:row>
      <xdr:rowOff>85725</xdr:rowOff>
    </xdr:from>
    <xdr:to>
      <xdr:col>28</xdr:col>
      <xdr:colOff>514125</xdr:colOff>
      <xdr:row>5</xdr:row>
      <xdr:rowOff>80850</xdr:rowOff>
    </xdr:to>
    <xdr:grpSp>
      <xdr:nvGrpSpPr>
        <xdr:cNvPr id="19" name="Group 18">
          <a:extLst>
            <a:ext uri="{FF2B5EF4-FFF2-40B4-BE49-F238E27FC236}">
              <a16:creationId xmlns:a16="http://schemas.microsoft.com/office/drawing/2014/main" id="{BB59F486-1B36-4BCB-B559-D8A3865F20F2}"/>
            </a:ext>
          </a:extLst>
        </xdr:cNvPr>
        <xdr:cNvGrpSpPr/>
      </xdr:nvGrpSpPr>
      <xdr:grpSpPr>
        <a:xfrm>
          <a:off x="15782925" y="85725"/>
          <a:ext cx="1800000" cy="900000"/>
          <a:chOff x="264973" y="247856"/>
          <a:chExt cx="1603126" cy="909787"/>
        </a:xfrm>
      </xdr:grpSpPr>
      <xdr:sp macro="" textlink="">
        <xdr:nvSpPr>
          <xdr:cNvPr id="20" name="Rectangle: Rounded Corners 19">
            <a:extLst>
              <a:ext uri="{FF2B5EF4-FFF2-40B4-BE49-F238E27FC236}">
                <a16:creationId xmlns:a16="http://schemas.microsoft.com/office/drawing/2014/main" id="{C02BFC3D-6967-C42E-437F-3EFABB5F2695}"/>
              </a:ext>
            </a:extLst>
          </xdr:cNvPr>
          <xdr:cNvSpPr/>
        </xdr:nvSpPr>
        <xdr:spPr>
          <a:xfrm>
            <a:off x="264973" y="247856"/>
            <a:ext cx="1603126" cy="909787"/>
          </a:xfrm>
          <a:prstGeom prst="roundRect">
            <a:avLst/>
          </a:prstGeom>
          <a:solidFill>
            <a:schemeClr val="bg1"/>
          </a:solidFill>
          <a:ln>
            <a:solidFill>
              <a:srgbClr val="00206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700" b="1" baseline="0">
                <a:solidFill>
                  <a:srgbClr val="002060"/>
                </a:solidFill>
                <a:latin typeface="Calibri" panose="020F0502020204030204" pitchFamily="34" charset="0"/>
                <a:ea typeface="Calibri" panose="020F0502020204030204" pitchFamily="34" charset="0"/>
                <a:cs typeface="Calibri" panose="020F0502020204030204" pitchFamily="34" charset="0"/>
              </a:rPr>
              <a:t>Priority to Watch</a:t>
            </a:r>
            <a:endParaRPr lang="en-IN" sz="1700" b="1">
              <a:solidFill>
                <a:srgbClr val="002060"/>
              </a:solidFill>
              <a:latin typeface="Calibri" panose="020F0502020204030204" pitchFamily="34" charset="0"/>
              <a:ea typeface="Calibri" panose="020F0502020204030204" pitchFamily="34" charset="0"/>
              <a:cs typeface="Calibri" panose="020F0502020204030204" pitchFamily="34" charset="0"/>
            </a:endParaRPr>
          </a:p>
        </xdr:txBody>
      </xdr:sp>
      <xdr:sp macro="" textlink="'Pivot Table'!AE8">
        <xdr:nvSpPr>
          <xdr:cNvPr id="21" name="TextBox 20">
            <a:extLst>
              <a:ext uri="{FF2B5EF4-FFF2-40B4-BE49-F238E27FC236}">
                <a16:creationId xmlns:a16="http://schemas.microsoft.com/office/drawing/2014/main" id="{4560CB30-CE3E-F82A-18C3-9F159E4E7A95}"/>
              </a:ext>
            </a:extLst>
          </xdr:cNvPr>
          <xdr:cNvSpPr txBox="1"/>
        </xdr:nvSpPr>
        <xdr:spPr>
          <a:xfrm>
            <a:off x="658217" y="813670"/>
            <a:ext cx="990600" cy="3399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46C3F0E4-0534-49E4-B119-E10CC3E7B849}" type="TxLink">
              <a:rPr lang="en-US" sz="1600" b="1" i="0" u="none" strike="noStrike">
                <a:solidFill>
                  <a:srgbClr val="003399"/>
                </a:solidFill>
                <a:latin typeface="Calibri"/>
                <a:ea typeface="Calibri"/>
                <a:cs typeface="Calibri"/>
              </a:rPr>
              <a:pPr marL="0" indent="0"/>
              <a:t>Medium</a:t>
            </a:fld>
            <a:endParaRPr lang="en-IN" sz="1600" b="1" i="0" u="none" strike="noStrike">
              <a:solidFill>
                <a:srgbClr val="003399"/>
              </a:solidFill>
              <a:latin typeface="Calibri"/>
              <a:ea typeface="Calibri"/>
              <a:cs typeface="Calibri"/>
            </a:endParaRPr>
          </a:p>
        </xdr:txBody>
      </xdr:sp>
    </xdr:grpSp>
    <xdr:clientData/>
  </xdr:twoCellAnchor>
  <xdr:twoCellAnchor>
    <xdr:from>
      <xdr:col>0</xdr:col>
      <xdr:colOff>523875</xdr:colOff>
      <xdr:row>0</xdr:row>
      <xdr:rowOff>85725</xdr:rowOff>
    </xdr:from>
    <xdr:to>
      <xdr:col>14</xdr:col>
      <xdr:colOff>314324</xdr:colOff>
      <xdr:row>4</xdr:row>
      <xdr:rowOff>173356</xdr:rowOff>
    </xdr:to>
    <xdr:sp macro="" textlink="">
      <xdr:nvSpPr>
        <xdr:cNvPr id="23" name="TextBox 22">
          <a:extLst>
            <a:ext uri="{FF2B5EF4-FFF2-40B4-BE49-F238E27FC236}">
              <a16:creationId xmlns:a16="http://schemas.microsoft.com/office/drawing/2014/main" id="{F542F82F-F532-74C4-72B3-7D254244B19C}"/>
            </a:ext>
          </a:extLst>
        </xdr:cNvPr>
        <xdr:cNvSpPr txBox="1"/>
      </xdr:nvSpPr>
      <xdr:spPr>
        <a:xfrm>
          <a:off x="523875" y="85725"/>
          <a:ext cx="8324849" cy="8115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400" b="1">
              <a:solidFill>
                <a:srgbClr val="003399"/>
              </a:solidFill>
              <a:latin typeface="Arial Black" panose="020B0A04020102020204" pitchFamily="34" charset="0"/>
              <a:ea typeface="Segoe UI Black" panose="020B0A02040204020203" pitchFamily="34" charset="0"/>
            </a:rPr>
            <a:t>IT Support SLA Performance Analysis</a:t>
          </a:r>
        </a:p>
      </xdr:txBody>
    </xdr:sp>
    <xdr:clientData/>
  </xdr:twoCellAnchor>
  <xdr:twoCellAnchor>
    <xdr:from>
      <xdr:col>3</xdr:col>
      <xdr:colOff>133349</xdr:colOff>
      <xdr:row>5</xdr:row>
      <xdr:rowOff>142875</xdr:rowOff>
    </xdr:from>
    <xdr:to>
      <xdr:col>21</xdr:col>
      <xdr:colOff>370050</xdr:colOff>
      <xdr:row>31</xdr:row>
      <xdr:rowOff>94200</xdr:rowOff>
    </xdr:to>
    <xdr:grpSp>
      <xdr:nvGrpSpPr>
        <xdr:cNvPr id="36" name="Group 35">
          <a:extLst>
            <a:ext uri="{FF2B5EF4-FFF2-40B4-BE49-F238E27FC236}">
              <a16:creationId xmlns:a16="http://schemas.microsoft.com/office/drawing/2014/main" id="{B35BBE30-C37D-31E0-8DCF-AF9B397FC4C6}"/>
            </a:ext>
          </a:extLst>
        </xdr:cNvPr>
        <xdr:cNvGrpSpPr/>
      </xdr:nvGrpSpPr>
      <xdr:grpSpPr>
        <a:xfrm>
          <a:off x="1962149" y="1047750"/>
          <a:ext cx="11209501" cy="4685250"/>
          <a:chOff x="1962149" y="1047750"/>
          <a:chExt cx="11209501" cy="4685250"/>
        </a:xfrm>
      </xdr:grpSpPr>
      <xdr:graphicFrame macro="">
        <xdr:nvGraphicFramePr>
          <xdr:cNvPr id="6" name="Chart 5">
            <a:extLst>
              <a:ext uri="{FF2B5EF4-FFF2-40B4-BE49-F238E27FC236}">
                <a16:creationId xmlns:a16="http://schemas.microsoft.com/office/drawing/2014/main" id="{4CDD7676-2BEE-4F20-B51D-A02B599E3020}"/>
              </a:ext>
            </a:extLst>
          </xdr:cNvPr>
          <xdr:cNvGraphicFramePr>
            <a:graphicFrameLocks/>
          </xdr:cNvGraphicFramePr>
        </xdr:nvGraphicFramePr>
        <xdr:xfrm>
          <a:off x="1962149" y="1047750"/>
          <a:ext cx="3852000" cy="2304000"/>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29" name="Chart 28">
            <a:extLst>
              <a:ext uri="{FF2B5EF4-FFF2-40B4-BE49-F238E27FC236}">
                <a16:creationId xmlns:a16="http://schemas.microsoft.com/office/drawing/2014/main" id="{52C9E749-897E-4A3C-809F-2F26F2076509}"/>
              </a:ext>
            </a:extLst>
          </xdr:cNvPr>
          <xdr:cNvGraphicFramePr>
            <a:graphicFrameLocks/>
          </xdr:cNvGraphicFramePr>
        </xdr:nvGraphicFramePr>
        <xdr:xfrm>
          <a:off x="9864525" y="1047750"/>
          <a:ext cx="3297600" cy="2304000"/>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32" name="Chart 31">
            <a:extLst>
              <a:ext uri="{FF2B5EF4-FFF2-40B4-BE49-F238E27FC236}">
                <a16:creationId xmlns:a16="http://schemas.microsoft.com/office/drawing/2014/main" id="{AE762A09-D5F8-496B-AACB-3312BBEC5D72}"/>
              </a:ext>
            </a:extLst>
          </xdr:cNvPr>
          <xdr:cNvGraphicFramePr>
            <a:graphicFrameLocks/>
          </xdr:cNvGraphicFramePr>
        </xdr:nvGraphicFramePr>
        <xdr:xfrm>
          <a:off x="5913337" y="1047750"/>
          <a:ext cx="3852000" cy="2304000"/>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30" name="Chart 29">
            <a:extLst>
              <a:ext uri="{FF2B5EF4-FFF2-40B4-BE49-F238E27FC236}">
                <a16:creationId xmlns:a16="http://schemas.microsoft.com/office/drawing/2014/main" id="{CC0E87D4-13C1-424F-AD4F-D32E98CE00FB}"/>
              </a:ext>
            </a:extLst>
          </xdr:cNvPr>
          <xdr:cNvGraphicFramePr>
            <a:graphicFrameLocks/>
          </xdr:cNvGraphicFramePr>
        </xdr:nvGraphicFramePr>
        <xdr:xfrm>
          <a:off x="5977836" y="3429000"/>
          <a:ext cx="3295651" cy="2304000"/>
        </xdr:xfrm>
        <a:graphic>
          <a:graphicData uri="http://schemas.openxmlformats.org/drawingml/2006/chart">
            <c:chart xmlns:c="http://schemas.openxmlformats.org/drawingml/2006/chart" xmlns:r="http://schemas.openxmlformats.org/officeDocument/2006/relationships" r:id="rId4"/>
          </a:graphicData>
        </a:graphic>
      </xdr:graphicFrame>
      <xdr:graphicFrame macro="">
        <xdr:nvGraphicFramePr>
          <xdr:cNvPr id="31" name="Chart 30">
            <a:extLst>
              <a:ext uri="{FF2B5EF4-FFF2-40B4-BE49-F238E27FC236}">
                <a16:creationId xmlns:a16="http://schemas.microsoft.com/office/drawing/2014/main" id="{0C18C13E-23CB-4D73-BA4C-E9BE766B5399}"/>
              </a:ext>
            </a:extLst>
          </xdr:cNvPr>
          <xdr:cNvGraphicFramePr>
            <a:graphicFrameLocks/>
          </xdr:cNvGraphicFramePr>
        </xdr:nvGraphicFramePr>
        <xdr:xfrm>
          <a:off x="1971674" y="3429000"/>
          <a:ext cx="3888000" cy="2304000"/>
        </xdr:xfrm>
        <a:graphic>
          <a:graphicData uri="http://schemas.openxmlformats.org/drawingml/2006/chart">
            <c:chart xmlns:c="http://schemas.openxmlformats.org/drawingml/2006/chart" xmlns:r="http://schemas.openxmlformats.org/officeDocument/2006/relationships" r:id="rId5"/>
          </a:graphicData>
        </a:graphic>
      </xdr:graphicFrame>
      <xdr:graphicFrame macro="">
        <xdr:nvGraphicFramePr>
          <xdr:cNvPr id="33" name="Chart 32">
            <a:extLst>
              <a:ext uri="{FF2B5EF4-FFF2-40B4-BE49-F238E27FC236}">
                <a16:creationId xmlns:a16="http://schemas.microsoft.com/office/drawing/2014/main" id="{A9B0B82E-1947-4FDB-B60E-FAC4A4D559C6}"/>
              </a:ext>
            </a:extLst>
          </xdr:cNvPr>
          <xdr:cNvGraphicFramePr>
            <a:graphicFrameLocks/>
          </xdr:cNvGraphicFramePr>
        </xdr:nvGraphicFramePr>
        <xdr:xfrm>
          <a:off x="9391650" y="3429000"/>
          <a:ext cx="3780000" cy="2304000"/>
        </xdr:xfrm>
        <a:graphic>
          <a:graphicData uri="http://schemas.openxmlformats.org/drawingml/2006/chart">
            <c:chart xmlns:c="http://schemas.openxmlformats.org/drawingml/2006/chart" xmlns:r="http://schemas.openxmlformats.org/officeDocument/2006/relationships" r:id="rId6"/>
          </a:graphicData>
        </a:graphic>
      </xdr:graphicFrame>
    </xdr:grpSp>
    <xdr:clientData/>
  </xdr:twoCellAnchor>
  <xdr:twoCellAnchor editAs="oneCell">
    <xdr:from>
      <xdr:col>0</xdr:col>
      <xdr:colOff>133350</xdr:colOff>
      <xdr:row>25</xdr:row>
      <xdr:rowOff>104775</xdr:rowOff>
    </xdr:from>
    <xdr:to>
      <xdr:col>2</xdr:col>
      <xdr:colOff>606150</xdr:colOff>
      <xdr:row>31</xdr:row>
      <xdr:rowOff>142350</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E4CAEA8A-3A7C-4319-8CE6-F8E2043698A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33350" y="4629150"/>
              <a:ext cx="1692000" cy="1152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133350</xdr:colOff>
      <xdr:row>17</xdr:row>
      <xdr:rowOff>113551</xdr:rowOff>
    </xdr:from>
    <xdr:to>
      <xdr:col>2</xdr:col>
      <xdr:colOff>606150</xdr:colOff>
      <xdr:row>25</xdr:row>
      <xdr:rowOff>105751</xdr:rowOff>
    </xdr:to>
    <mc:AlternateContent xmlns:mc="http://schemas.openxmlformats.org/markup-compatibility/2006" xmlns:a14="http://schemas.microsoft.com/office/drawing/2010/main">
      <mc:Choice Requires="a14">
        <xdr:graphicFrame macro="">
          <xdr:nvGraphicFramePr>
            <xdr:cNvPr id="22" name="Request Type">
              <a:extLst>
                <a:ext uri="{FF2B5EF4-FFF2-40B4-BE49-F238E27FC236}">
                  <a16:creationId xmlns:a16="http://schemas.microsoft.com/office/drawing/2014/main" id="{95C39CFC-7C48-4151-BD76-5C7E6A6A32F5}"/>
                </a:ext>
              </a:extLst>
            </xdr:cNvPr>
            <xdr:cNvGraphicFramePr/>
          </xdr:nvGraphicFramePr>
          <xdr:xfrm>
            <a:off x="0" y="0"/>
            <a:ext cx="0" cy="0"/>
          </xdr:xfrm>
          <a:graphic>
            <a:graphicData uri="http://schemas.microsoft.com/office/drawing/2010/slicer">
              <sle:slicer xmlns:sle="http://schemas.microsoft.com/office/drawing/2010/slicer" name="Request Type"/>
            </a:graphicData>
          </a:graphic>
        </xdr:graphicFrame>
      </mc:Choice>
      <mc:Fallback xmlns="">
        <xdr:sp macro="" textlink="">
          <xdr:nvSpPr>
            <xdr:cNvPr id="0" name=""/>
            <xdr:cNvSpPr>
              <a:spLocks noTextEdit="1"/>
            </xdr:cNvSpPr>
          </xdr:nvSpPr>
          <xdr:spPr>
            <a:xfrm>
              <a:off x="133350" y="3190126"/>
              <a:ext cx="1692000" cy="1440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133350</xdr:colOff>
      <xdr:row>11</xdr:row>
      <xdr:rowOff>48376</xdr:rowOff>
    </xdr:from>
    <xdr:to>
      <xdr:col>2</xdr:col>
      <xdr:colOff>606150</xdr:colOff>
      <xdr:row>17</xdr:row>
      <xdr:rowOff>114526</xdr:rowOff>
    </xdr:to>
    <mc:AlternateContent xmlns:mc="http://schemas.openxmlformats.org/markup-compatibility/2006" xmlns:a14="http://schemas.microsoft.com/office/drawing/2010/main">
      <mc:Choice Requires="a14">
        <xdr:graphicFrame macro="">
          <xdr:nvGraphicFramePr>
            <xdr:cNvPr id="24" name="Priority">
              <a:extLst>
                <a:ext uri="{FF2B5EF4-FFF2-40B4-BE49-F238E27FC236}">
                  <a16:creationId xmlns:a16="http://schemas.microsoft.com/office/drawing/2014/main" id="{863B32D8-4BF4-4C97-8B8B-2027398D9A10}"/>
                </a:ext>
              </a:extLst>
            </xdr:cNvPr>
            <xdr:cNvGraphicFramePr/>
          </xdr:nvGraphicFramePr>
          <xdr:xfrm>
            <a:off x="0" y="0"/>
            <a:ext cx="0" cy="0"/>
          </xdr:xfrm>
          <a:graphic>
            <a:graphicData uri="http://schemas.microsoft.com/office/drawing/2010/slicer">
              <sle:slicer xmlns:sle="http://schemas.microsoft.com/office/drawing/2010/slicer" name="Priority"/>
            </a:graphicData>
          </a:graphic>
        </xdr:graphicFrame>
      </mc:Choice>
      <mc:Fallback xmlns="">
        <xdr:sp macro="" textlink="">
          <xdr:nvSpPr>
            <xdr:cNvPr id="0" name=""/>
            <xdr:cNvSpPr>
              <a:spLocks noTextEdit="1"/>
            </xdr:cNvSpPr>
          </xdr:nvSpPr>
          <xdr:spPr>
            <a:xfrm>
              <a:off x="133350" y="2039101"/>
              <a:ext cx="1692000" cy="1152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133350</xdr:colOff>
      <xdr:row>3</xdr:row>
      <xdr:rowOff>57151</xdr:rowOff>
    </xdr:from>
    <xdr:to>
      <xdr:col>2</xdr:col>
      <xdr:colOff>606150</xdr:colOff>
      <xdr:row>11</xdr:row>
      <xdr:rowOff>49351</xdr:rowOff>
    </xdr:to>
    <mc:AlternateContent xmlns:mc="http://schemas.openxmlformats.org/markup-compatibility/2006" xmlns:a14="http://schemas.microsoft.com/office/drawing/2010/main">
      <mc:Choice Requires="a14">
        <xdr:graphicFrame macro="">
          <xdr:nvGraphicFramePr>
            <xdr:cNvPr id="25" name="Month">
              <a:extLst>
                <a:ext uri="{FF2B5EF4-FFF2-40B4-BE49-F238E27FC236}">
                  <a16:creationId xmlns:a16="http://schemas.microsoft.com/office/drawing/2014/main" id="{E590A738-4F83-4C9E-B9B0-904E7BB6B4D3}"/>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33350" y="600076"/>
              <a:ext cx="1692000" cy="1440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21</xdr:col>
      <xdr:colOff>485775</xdr:colOff>
      <xdr:row>5</xdr:row>
      <xdr:rowOff>161925</xdr:rowOff>
    </xdr:from>
    <xdr:to>
      <xdr:col>28</xdr:col>
      <xdr:colOff>533400</xdr:colOff>
      <xdr:row>31</xdr:row>
      <xdr:rowOff>108000</xdr:rowOff>
    </xdr:to>
    <xdr:sp macro="" textlink="">
      <xdr:nvSpPr>
        <xdr:cNvPr id="35" name="TextBox 34">
          <a:extLst>
            <a:ext uri="{FF2B5EF4-FFF2-40B4-BE49-F238E27FC236}">
              <a16:creationId xmlns:a16="http://schemas.microsoft.com/office/drawing/2014/main" id="{A93D77CC-AA5D-62CC-4FA9-8E6822823A6B}"/>
            </a:ext>
          </a:extLst>
        </xdr:cNvPr>
        <xdr:cNvSpPr txBox="1"/>
      </xdr:nvSpPr>
      <xdr:spPr>
        <a:xfrm>
          <a:off x="13287375" y="1066800"/>
          <a:ext cx="4314825" cy="4680000"/>
        </a:xfrm>
        <a:prstGeom prst="rect">
          <a:avLst/>
        </a:prstGeom>
        <a:solidFill>
          <a:schemeClr val="lt1"/>
        </a:solid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lvl="0" algn="ctr" rtl="0"/>
          <a:endParaRPr lang="en-IN" sz="1600" b="1">
            <a:solidFill>
              <a:srgbClr val="003399"/>
            </a:solidFill>
            <a:latin typeface="+mn-lt"/>
          </a:endParaRPr>
        </a:p>
        <a:p>
          <a:pPr lvl="0" algn="ctr" rtl="0"/>
          <a:r>
            <a:rPr lang="en-IN" sz="1600" b="1">
              <a:solidFill>
                <a:srgbClr val="003399"/>
              </a:solidFill>
              <a:latin typeface="+mn-lt"/>
            </a:rPr>
            <a:t>Key Insights</a:t>
          </a:r>
        </a:p>
        <a:p>
          <a:pPr lvl="0" algn="ctr" rtl="0"/>
          <a:endParaRPr lang="en-IN" sz="1600" b="1">
            <a:solidFill>
              <a:srgbClr val="003399"/>
            </a:solidFill>
            <a:latin typeface="+mn-lt"/>
          </a:endParaRPr>
        </a:p>
        <a:p>
          <a:pPr lvl="0" rtl="0"/>
          <a:r>
            <a:rPr lang="en-IN" sz="1600">
              <a:solidFill>
                <a:srgbClr val="003399"/>
              </a:solidFill>
              <a:latin typeface="Aptos Display" panose="020B0004020202020204" pitchFamily="34" charset="0"/>
              <a:sym typeface="Symbol" panose="05050102010706020507" pitchFamily="18" charset="2"/>
            </a:rPr>
            <a:t> </a:t>
          </a:r>
          <a:r>
            <a:rPr lang="en-IN" sz="1600">
              <a:solidFill>
                <a:srgbClr val="003399"/>
              </a:solidFill>
              <a:latin typeface="Aptos Display" panose="020B0004020202020204" pitchFamily="34" charset="0"/>
            </a:rPr>
            <a:t>Overall SLA is 94.05%, with 67 breaches out of  </a:t>
          </a:r>
        </a:p>
        <a:p>
          <a:pPr lvl="0" rtl="0"/>
          <a:r>
            <a:rPr lang="en-IN" sz="1600">
              <a:solidFill>
                <a:srgbClr val="003399"/>
              </a:solidFill>
              <a:latin typeface="Aptos Display" panose="020B0004020202020204" pitchFamily="34" charset="0"/>
            </a:rPr>
            <a:t>    1,126 tickets.</a:t>
          </a:r>
        </a:p>
        <a:p>
          <a:pPr lvl="0" rtl="0"/>
          <a:r>
            <a:rPr lang="en-IN" sz="1600">
              <a:solidFill>
                <a:srgbClr val="003399"/>
              </a:solidFill>
              <a:latin typeface="Aptos Display" panose="020B0004020202020204" pitchFamily="34" charset="0"/>
              <a:sym typeface="Symbol" panose="05050102010706020507" pitchFamily="18" charset="2"/>
            </a:rPr>
            <a:t></a:t>
          </a:r>
          <a:r>
            <a:rPr lang="en-IN" sz="1600" baseline="0">
              <a:solidFill>
                <a:srgbClr val="003399"/>
              </a:solidFill>
              <a:latin typeface="Aptos Display" panose="020B0004020202020204" pitchFamily="34" charset="0"/>
              <a:sym typeface="Symbol" panose="05050102010706020507" pitchFamily="18" charset="2"/>
            </a:rPr>
            <a:t> </a:t>
          </a:r>
          <a:r>
            <a:rPr lang="en-IN" sz="1600">
              <a:solidFill>
                <a:srgbClr val="003399"/>
              </a:solidFill>
              <a:latin typeface="Aptos Display" panose="020B0004020202020204" pitchFamily="34" charset="0"/>
            </a:rPr>
            <a:t>Sarah has the lowest SLA at 83.7%, while Robert    </a:t>
          </a:r>
          <a:r>
            <a:rPr lang="en-IN" sz="1600" baseline="0">
              <a:solidFill>
                <a:srgbClr val="003399"/>
              </a:solidFill>
              <a:latin typeface="Aptos Display" panose="020B0004020202020204" pitchFamily="34" charset="0"/>
            </a:rPr>
            <a:t>  </a:t>
          </a:r>
        </a:p>
        <a:p>
          <a:pPr lvl="0" rtl="0"/>
          <a:r>
            <a:rPr lang="en-IN" sz="1600" baseline="0">
              <a:solidFill>
                <a:srgbClr val="003399"/>
              </a:solidFill>
              <a:latin typeface="Aptos Display" panose="020B0004020202020204" pitchFamily="34" charset="0"/>
            </a:rPr>
            <a:t>   </a:t>
          </a:r>
          <a:r>
            <a:rPr lang="en-IN" sz="1600">
              <a:solidFill>
                <a:srgbClr val="003399"/>
              </a:solidFill>
              <a:latin typeface="Aptos Display" panose="020B0004020202020204" pitchFamily="34" charset="0"/>
            </a:rPr>
            <a:t>has the highest at 99.1%.</a:t>
          </a:r>
        </a:p>
        <a:p>
          <a:pPr lvl="0" rtl="0"/>
          <a:r>
            <a:rPr lang="en-IN" sz="1600">
              <a:solidFill>
                <a:srgbClr val="003399"/>
              </a:solidFill>
              <a:latin typeface="Aptos Display" panose="020B0004020202020204" pitchFamily="34" charset="0"/>
              <a:sym typeface="Symbol" panose="05050102010706020507" pitchFamily="18" charset="2"/>
            </a:rPr>
            <a:t> </a:t>
          </a:r>
          <a:r>
            <a:rPr lang="en-IN" sz="1600">
              <a:solidFill>
                <a:srgbClr val="003399"/>
              </a:solidFill>
              <a:latin typeface="Aptos Display" panose="020B0004020202020204" pitchFamily="34" charset="0"/>
            </a:rPr>
            <a:t>Medium priority accounts for 43% of all     </a:t>
          </a:r>
        </a:p>
        <a:p>
          <a:pPr lvl="0" rtl="0"/>
          <a:r>
            <a:rPr lang="en-IN" sz="1600">
              <a:solidFill>
                <a:srgbClr val="003399"/>
              </a:solidFill>
              <a:latin typeface="Aptos Display" panose="020B0004020202020204" pitchFamily="34" charset="0"/>
            </a:rPr>
            <a:t>    breaches  (29 of 67).</a:t>
          </a:r>
        </a:p>
        <a:p>
          <a:pPr lvl="0" rtl="0"/>
          <a:r>
            <a:rPr lang="en-IN" sz="1600">
              <a:solidFill>
                <a:srgbClr val="003399"/>
              </a:solidFill>
              <a:latin typeface="Aptos Display" panose="020B0004020202020204" pitchFamily="34" charset="0"/>
              <a:sym typeface="Symbol" panose="05050102010706020507" pitchFamily="18" charset="2"/>
            </a:rPr>
            <a:t> </a:t>
          </a:r>
          <a:r>
            <a:rPr lang="en-IN" sz="1600">
              <a:solidFill>
                <a:srgbClr val="003399"/>
              </a:solidFill>
              <a:latin typeface="Aptos Display" panose="020B0004020202020204" pitchFamily="34" charset="0"/>
            </a:rPr>
            <a:t>Access Request has the most breaches (24), </a:t>
          </a:r>
        </a:p>
        <a:p>
          <a:pPr lvl="0" rtl="0"/>
          <a:r>
            <a:rPr lang="en-IN" sz="1600" baseline="0">
              <a:solidFill>
                <a:srgbClr val="003399"/>
              </a:solidFill>
              <a:latin typeface="Aptos Display" panose="020B0004020202020204" pitchFamily="34" charset="0"/>
            </a:rPr>
            <a:t>  </a:t>
          </a:r>
          <a:r>
            <a:rPr lang="en-IN" sz="1600">
              <a:solidFill>
                <a:srgbClr val="003399"/>
              </a:solidFill>
              <a:latin typeface="Aptos Display" panose="020B0004020202020204" pitchFamily="34" charset="0"/>
            </a:rPr>
            <a:t>ahead of Password Reset and VPN Access (10   </a:t>
          </a:r>
        </a:p>
        <a:p>
          <a:pPr lvl="0" rtl="0"/>
          <a:r>
            <a:rPr lang="en-IN" sz="1600" baseline="0">
              <a:solidFill>
                <a:srgbClr val="003399"/>
              </a:solidFill>
              <a:latin typeface="Aptos Display" panose="020B0004020202020204" pitchFamily="34" charset="0"/>
            </a:rPr>
            <a:t>  </a:t>
          </a:r>
          <a:r>
            <a:rPr lang="en-IN" sz="1600">
              <a:solidFill>
                <a:srgbClr val="003399"/>
              </a:solidFill>
              <a:latin typeface="Aptos Display" panose="020B0004020202020204" pitchFamily="34" charset="0"/>
            </a:rPr>
            <a:t>each).</a:t>
          </a:r>
        </a:p>
        <a:p>
          <a:pPr lvl="0" rtl="0"/>
          <a:r>
            <a:rPr lang="en-IN" sz="1600">
              <a:solidFill>
                <a:srgbClr val="003399"/>
              </a:solidFill>
              <a:latin typeface="Aptos Display" panose="020B0004020202020204" pitchFamily="34" charset="0"/>
              <a:sym typeface="Symbol" panose="05050102010706020507" pitchFamily="18" charset="2"/>
            </a:rPr>
            <a:t> </a:t>
          </a:r>
          <a:r>
            <a:rPr lang="en-IN" sz="1600">
              <a:solidFill>
                <a:srgbClr val="003399"/>
              </a:solidFill>
              <a:latin typeface="Aptos Display" panose="020B0004020202020204" pitchFamily="34" charset="0"/>
            </a:rPr>
            <a:t>January was the weakest month at 81.4%.</a:t>
          </a:r>
        </a:p>
        <a:p>
          <a:pPr lvl="0" rtl="0"/>
          <a:r>
            <a:rPr lang="en-IN" sz="1600">
              <a:solidFill>
                <a:srgbClr val="003399"/>
              </a:solidFill>
              <a:latin typeface="Aptos Display" panose="020B0004020202020204" pitchFamily="34" charset="0"/>
              <a:sym typeface="Symbol" panose="05050102010706020507" pitchFamily="18" charset="2"/>
            </a:rPr>
            <a:t> </a:t>
          </a:r>
          <a:r>
            <a:rPr lang="en-IN" sz="1600">
              <a:solidFill>
                <a:srgbClr val="003399"/>
              </a:solidFill>
              <a:latin typeface="Aptos Display" panose="020B0004020202020204" pitchFamily="34" charset="0"/>
            </a:rPr>
            <a:t>Germany (86.4%) and India (87.7%) have the      </a:t>
          </a:r>
        </a:p>
        <a:p>
          <a:pPr lvl="0" rtl="0"/>
          <a:r>
            <a:rPr lang="en-IN" sz="1600" baseline="0">
              <a:solidFill>
                <a:srgbClr val="003399"/>
              </a:solidFill>
              <a:latin typeface="Aptos Display" panose="020B0004020202020204" pitchFamily="34" charset="0"/>
            </a:rPr>
            <a:t>   </a:t>
          </a:r>
          <a:r>
            <a:rPr lang="en-IN" sz="1600">
              <a:solidFill>
                <a:srgbClr val="003399"/>
              </a:solidFill>
              <a:latin typeface="Aptos Display" panose="020B0004020202020204" pitchFamily="34" charset="0"/>
            </a:rPr>
            <a:t>lowest SLA among countries.</a:t>
          </a:r>
        </a:p>
        <a:p>
          <a:endParaRPr lang="en-IN"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93.717121064816" createdVersion="8" refreshedVersion="8" minRefreshableVersion="3" recordCount="1126" xr:uid="{2173B55E-D68E-4C3B-8E19-497A531F1D0D}">
  <cacheSource type="worksheet">
    <worksheetSource name="Sheet1"/>
  </cacheSource>
  <cacheFields count="17">
    <cacheField name="Ticket ID" numFmtId="0">
      <sharedItems count="1126">
        <s v="T001"/>
        <s v="T002"/>
        <s v="T003"/>
        <s v="T004"/>
        <s v="T005"/>
        <s v="T006"/>
        <s v="T007"/>
        <s v="T008"/>
        <s v="T009"/>
        <s v="T010"/>
        <s v="T011"/>
        <s v="T012"/>
        <s v="T013"/>
        <s v="T014"/>
        <s v="T015"/>
        <s v="T016"/>
        <s v="T017"/>
        <s v="T018"/>
        <s v="T019"/>
        <s v="T020"/>
        <s v="T021"/>
        <s v="T022"/>
        <s v="T023"/>
        <s v="T024"/>
        <s v="T025"/>
        <s v="T026"/>
        <s v="T027"/>
        <s v="T028"/>
        <s v="T029"/>
        <s v="T030"/>
        <s v="T031"/>
        <s v="T032"/>
        <s v="T033"/>
        <s v="T034"/>
        <s v="T035"/>
        <s v="T036"/>
        <s v="T037"/>
        <s v="T038"/>
        <s v="T039"/>
        <s v="T040"/>
        <s v="T041"/>
        <s v="T042"/>
        <s v="T043"/>
        <s v="T044"/>
        <s v="T045"/>
        <s v="T046"/>
        <s v="T047"/>
        <s v="T048"/>
        <s v="T049"/>
        <s v="T050"/>
        <s v="T051"/>
        <s v="T052"/>
        <s v="T053"/>
        <s v="T054"/>
        <s v="T055"/>
        <s v="T056"/>
        <s v="T057"/>
        <s v="T058"/>
        <s v="T059"/>
        <s v="T060"/>
        <s v="T061"/>
        <s v="T062"/>
        <s v="T063"/>
        <s v="T064"/>
        <s v="T065"/>
        <s v="T066"/>
        <s v="T067"/>
        <s v="T068"/>
        <s v="T069"/>
        <s v="T070"/>
        <s v="T071"/>
        <s v="T072"/>
        <s v="T073"/>
        <s v="T074"/>
        <s v="T075"/>
        <s v="T076"/>
        <s v="T077"/>
        <s v="T078"/>
        <s v="T079"/>
        <s v="T080"/>
        <s v="T081"/>
        <s v="T082"/>
        <s v="T083"/>
        <s v="T084"/>
        <s v="T085"/>
        <s v="T086"/>
        <s v="T087"/>
        <s v="T088"/>
        <s v="T089"/>
        <s v="T090"/>
        <s v="T091"/>
        <s v="T092"/>
        <s v="T093"/>
        <s v="T094"/>
        <s v="T095"/>
        <s v="T096"/>
        <s v="T097"/>
        <s v="T098"/>
        <s v="T099"/>
        <s v="T100"/>
        <s v="T101"/>
        <s v="T102"/>
        <s v="T103"/>
        <s v="T104"/>
        <s v="T105"/>
        <s v="T106"/>
        <s v="T107"/>
        <s v="T108"/>
        <s v="T109"/>
        <s v="T110"/>
        <s v="T111"/>
        <s v="T112"/>
        <s v="T113"/>
        <s v="T114"/>
        <s v="T115"/>
        <s v="T116"/>
        <s v="T117"/>
        <s v="T118"/>
        <s v="T119"/>
        <s v="T120"/>
        <s v="T121"/>
        <s v="T122"/>
        <s v="T123"/>
        <s v="T125"/>
        <s v="T126"/>
        <s v="T127"/>
        <s v="T128"/>
        <s v="T129"/>
        <s v="T130"/>
        <s v="T131"/>
        <s v="T132"/>
        <s v="T133"/>
        <s v="T134"/>
        <s v="T135"/>
        <s v="T136"/>
        <s v="T137"/>
        <s v="T138"/>
        <s v="T139"/>
        <s v="T140"/>
        <s v="T141"/>
        <s v="T142"/>
        <s v="T143"/>
        <s v="T144"/>
        <s v="T145"/>
        <s v="T146"/>
        <s v="T148"/>
        <s v="T149"/>
        <s v="T150"/>
        <s v="T151"/>
        <s v="T152"/>
        <s v="T153"/>
        <s v="T154"/>
        <s v="T155"/>
        <s v="T156"/>
        <s v="T157"/>
        <s v="T158"/>
        <s v="T159"/>
        <s v="T160"/>
        <s v="T161"/>
        <s v="T162"/>
        <s v="T163"/>
        <s v="T164"/>
        <s v="T165"/>
        <s v="T166"/>
        <s v="T167"/>
        <s v="T168"/>
        <s v="T169"/>
        <s v="T170"/>
        <s v="T171"/>
        <s v="T172"/>
        <s v="T173"/>
        <s v="T174"/>
        <s v="T175"/>
        <s v="T177"/>
        <s v="T178"/>
        <s v="T179"/>
        <s v="T180"/>
        <s v="T181"/>
        <s v="T182"/>
        <s v="T183"/>
        <s v="T184"/>
        <s v="T185"/>
        <s v="T186"/>
        <s v="T187"/>
        <s v="T188"/>
        <s v="T189"/>
        <s v="T190"/>
        <s v="T191"/>
        <s v="T192"/>
        <s v="T193"/>
        <s v="T194"/>
        <s v="T195"/>
        <s v="T196"/>
        <s v="T197"/>
        <s v="T198"/>
        <s v="T199"/>
        <s v="T200"/>
        <s v="T201"/>
        <s v="T202"/>
        <s v="T203"/>
        <s v="T204"/>
        <s v="T205"/>
        <s v="T206"/>
        <s v="T207"/>
        <s v="T208"/>
        <s v="T209"/>
        <s v="T210"/>
        <s v="T211"/>
        <s v="T212"/>
        <s v="T213"/>
        <s v="T214"/>
        <s v="T215"/>
        <s v="T216"/>
        <s v="T217"/>
        <s v="T218"/>
        <s v="T219"/>
        <s v="T220"/>
        <s v="T221"/>
        <s v="T222"/>
        <s v="T223"/>
        <s v="T224"/>
        <s v="T225"/>
        <s v="T226"/>
        <s v="T227"/>
        <s v="T228"/>
        <s v="T230"/>
        <s v="T231"/>
        <s v="T232"/>
        <s v="T233"/>
        <s v="T234"/>
        <s v="T235"/>
        <s v="T236"/>
        <s v="T237"/>
        <s v="T238"/>
        <s v="T239"/>
        <s v="T240"/>
        <s v="T241"/>
        <s v="T242"/>
        <s v="T243"/>
        <s v="T244"/>
        <s v="T245"/>
        <s v="T246"/>
        <s v="T247"/>
        <s v="T248"/>
        <s v="T249"/>
        <s v="T250"/>
        <s v="T251"/>
        <s v="T252"/>
        <s v="T253"/>
        <s v="T254"/>
        <s v="T255"/>
        <s v="T256"/>
        <s v="T257"/>
        <s v="T258"/>
        <s v="T259"/>
        <s v="T260"/>
        <s v="T261"/>
        <s v="T262"/>
        <s v="T263"/>
        <s v="T264"/>
        <s v="T265"/>
        <s v="T266"/>
        <s v="T267"/>
        <s v="T268"/>
        <s v="T269"/>
        <s v="T270"/>
        <s v="T271"/>
        <s v="T272"/>
        <s v="T273"/>
        <s v="T274"/>
        <s v="T275"/>
        <s v="T276"/>
        <s v="T277"/>
        <s v="T278"/>
        <s v="T279"/>
        <s v="T280"/>
        <s v="T281"/>
        <s v="T282"/>
        <s v="T283"/>
        <s v="T284"/>
        <s v="T285"/>
        <s v="T286"/>
        <s v="T287"/>
        <s v="T288"/>
        <s v="T289"/>
        <s v="T290"/>
        <s v="T291"/>
        <s v="T292"/>
        <s v="T293"/>
        <s v="T294"/>
        <s v="T295"/>
        <s v="T296"/>
        <s v="T297"/>
        <s v="T298"/>
        <s v="T299"/>
        <s v="T300"/>
        <s v="T301"/>
        <s v="T302"/>
        <s v="T303"/>
        <s v="T304"/>
        <s v="T305"/>
        <s v="T306"/>
        <s v="T307"/>
        <s v="T308"/>
        <s v="T309"/>
        <s v="T310"/>
        <s v="T311"/>
        <s v="T312"/>
        <s v="T313"/>
        <s v="T314"/>
        <s v="T315"/>
        <s v="T316"/>
        <s v="T317"/>
        <s v="T318"/>
        <s v="T319"/>
        <s v="T320"/>
        <s v="T321"/>
        <s v="T322"/>
        <s v="T323"/>
        <s v="T325"/>
        <s v="T326"/>
        <s v="T327"/>
        <s v="T328"/>
        <s v="T329"/>
        <s v="T330"/>
        <s v="T331"/>
        <s v="T332"/>
        <s v="T333"/>
        <s v="T334"/>
        <s v="T335"/>
        <s v="T336"/>
        <s v="T337"/>
        <s v="T338"/>
        <s v="T339"/>
        <s v="T340"/>
        <s v="T341"/>
        <s v="T342"/>
        <s v="T343"/>
        <s v="T344"/>
        <s v="T345"/>
        <s v="T346"/>
        <s v="T347"/>
        <s v="T348"/>
        <s v="T349"/>
        <s v="T350"/>
        <s v="T351"/>
        <s v="T352"/>
        <s v="T353"/>
        <s v="T354"/>
        <s v="T355"/>
        <s v="T356"/>
        <s v="T357"/>
        <s v="T358"/>
        <s v="T359"/>
        <s v="T360"/>
        <s v="T361"/>
        <s v="T362"/>
        <s v="T363"/>
        <s v="T364"/>
        <s v="T365"/>
        <s v="T366"/>
        <s v="T367"/>
        <s v="T368"/>
        <s v="T369"/>
        <s v="T370"/>
        <s v="T371"/>
        <s v="T372"/>
        <s v="T373"/>
        <s v="T374"/>
        <s v="T375"/>
        <s v="T377"/>
        <s v="T378"/>
        <s v="T379"/>
        <s v="T380"/>
        <s v="T381"/>
        <s v="T382"/>
        <s v="T383"/>
        <s v="T384"/>
        <s v="T385"/>
        <s v="T386"/>
        <s v="T387"/>
        <s v="T388"/>
        <s v="T389"/>
        <s v="T390"/>
        <s v="T391"/>
        <s v="T392"/>
        <s v="T393"/>
        <s v="T394"/>
        <s v="T395"/>
        <s v="T396"/>
        <s v="T397"/>
        <s v="T398"/>
        <s v="T399"/>
        <s v="T400"/>
        <s v="T401"/>
        <s v="T402"/>
        <s v="T403"/>
        <s v="T404"/>
        <s v="T405"/>
        <s v="T406"/>
        <s v="T407"/>
        <s v="T408"/>
        <s v="T409"/>
        <s v="T410"/>
        <s v="T411"/>
        <s v="T412"/>
        <s v="T413"/>
        <s v="T414"/>
        <s v="T415"/>
        <s v="T416"/>
        <s v="T417"/>
        <s v="T418"/>
        <s v="T419"/>
        <s v="T420"/>
        <s v="T421"/>
        <s v="T422"/>
        <s v="T423"/>
        <s v="T424"/>
        <s v="T425"/>
        <s v="T426"/>
        <s v="T427"/>
        <s v="T428"/>
        <s v="T429"/>
        <s v="T430"/>
        <s v="T431"/>
        <s v="T432"/>
        <s v="T433"/>
        <s v="T434"/>
        <s v="T435"/>
        <s v="T436"/>
        <s v="T437"/>
        <s v="T438"/>
        <s v="T439"/>
        <s v="T440"/>
        <s v="T441"/>
        <s v="T442"/>
        <s v="T443"/>
        <s v="T444"/>
        <s v="T445"/>
        <s v="T446"/>
        <s v="T447"/>
        <s v="T448"/>
        <s v="T449"/>
        <s v="T450"/>
        <s v="T451"/>
        <s v="T452"/>
        <s v="T453"/>
        <s v="T454"/>
        <s v="T455"/>
        <s v="T456"/>
        <s v="T457"/>
        <s v="T458"/>
        <s v="T459"/>
        <s v="T460"/>
        <s v="T461"/>
        <s v="T462"/>
        <s v="T463"/>
        <s v="T464"/>
        <s v="T465"/>
        <s v="T466"/>
        <s v="T467"/>
        <s v="T468"/>
        <s v="T469"/>
        <s v="T470"/>
        <s v="T471"/>
        <s v="T472"/>
        <s v="T473"/>
        <s v="T474"/>
        <s v="T475"/>
        <s v="T476"/>
        <s v="T477"/>
        <s v="T478"/>
        <s v="T479"/>
        <s v="T480"/>
        <s v="T481"/>
        <s v="T482"/>
        <s v="T483"/>
        <s v="T484"/>
        <s v="T485"/>
        <s v="T486"/>
        <s v="T487"/>
        <s v="T488"/>
        <s v="T489"/>
        <s v="T490"/>
        <s v="T491"/>
        <s v="T492"/>
        <s v="T493"/>
        <s v="T494"/>
        <s v="T495"/>
        <s v="T496"/>
        <s v="T497"/>
        <s v="T498"/>
        <s v="T499"/>
        <s v="T500"/>
        <s v="T501"/>
        <s v="T502"/>
        <s v="T503"/>
        <s v="T504"/>
        <s v="T505"/>
        <s v="T506"/>
        <s v="T507"/>
        <s v="T508"/>
        <s v="T509"/>
        <s v="T510"/>
        <s v="T511"/>
        <s v="T512"/>
        <s v="T513"/>
        <s v="T514"/>
        <s v="T515"/>
        <s v="T516"/>
        <s v="T517"/>
        <s v="T518"/>
        <s v="T519"/>
        <s v="T520"/>
        <s v="T521"/>
        <s v="T522"/>
        <s v="T523"/>
        <s v="T524"/>
        <s v="T525"/>
        <s v="T526"/>
        <s v="T527"/>
        <s v="T528"/>
        <s v="T529"/>
        <s v="T530"/>
        <s v="T531"/>
        <s v="T532"/>
        <s v="T533"/>
        <s v="T534"/>
        <s v="T535"/>
        <s v="T536"/>
        <s v="T537"/>
        <s v="T538"/>
        <s v="T539"/>
        <s v="T540"/>
        <s v="T541"/>
        <s v="T542"/>
        <s v="T543"/>
        <s v="T544"/>
        <s v="T545"/>
        <s v="T546"/>
        <s v="T547"/>
        <s v="T548"/>
        <s v="T549"/>
        <s v="T550"/>
        <s v="T551"/>
        <s v="T552"/>
        <s v="T553"/>
        <s v="T554"/>
        <s v="T555"/>
        <s v="T556"/>
        <s v="T557"/>
        <s v="T558"/>
        <s v="T559"/>
        <s v="T560"/>
        <s v="T561"/>
        <s v="T562"/>
        <s v="T563"/>
        <s v="T564"/>
        <s v="T565"/>
        <s v="T566"/>
        <s v="T567"/>
        <s v="T568"/>
        <s v="T569"/>
        <s v="T570"/>
        <s v="T571"/>
        <s v="T572"/>
        <s v="T573"/>
        <s v="T574"/>
        <s v="T575"/>
        <s v="T576"/>
        <s v="T577"/>
        <s v="T578"/>
        <s v="T579"/>
        <s v="T580"/>
        <s v="T581"/>
        <s v="T582"/>
        <s v="T583"/>
        <s v="T584"/>
        <s v="T585"/>
        <s v="T586"/>
        <s v="T587"/>
        <s v="T588"/>
        <s v="T589"/>
        <s v="T590"/>
        <s v="T591"/>
        <s v="T592"/>
        <s v="T593"/>
        <s v="T594"/>
        <s v="T595"/>
        <s v="T596"/>
        <s v="T597"/>
        <s v="T598"/>
        <s v="T599"/>
        <s v="T600"/>
        <s v="T601"/>
        <s v="T602"/>
        <s v="T603"/>
        <s v="T604"/>
        <s v="T605"/>
        <s v="T606"/>
        <s v="T607"/>
        <s v="T608"/>
        <s v="T609"/>
        <s v="T610"/>
        <s v="T611"/>
        <s v="T612"/>
        <s v="T613"/>
        <s v="T614"/>
        <s v="T615"/>
        <s v="T616"/>
        <s v="T617"/>
        <s v="T618"/>
        <s v="T619"/>
        <s v="T620"/>
        <s v="T621"/>
        <s v="T622"/>
        <s v="T623"/>
        <s v="T624"/>
        <s v="T625"/>
        <s v="T626"/>
        <s v="T627"/>
        <s v="T628"/>
        <s v="T629"/>
        <s v="T630"/>
        <s v="T631"/>
        <s v="T632"/>
        <s v="T633"/>
        <s v="T634"/>
        <s v="T635"/>
        <s v="T636"/>
        <s v="T637"/>
        <s v="T638"/>
        <s v="T639"/>
        <s v="T640"/>
        <s v="T641"/>
        <s v="T642"/>
        <s v="T643"/>
        <s v="T644"/>
        <s v="T645"/>
        <s v="T646"/>
        <s v="T647"/>
        <s v="T648"/>
        <s v="T649"/>
        <s v="T650"/>
        <s v="T651"/>
        <s v="T652"/>
        <s v="T653"/>
        <s v="T654"/>
        <s v="T655"/>
        <s v="T656"/>
        <s v="T657"/>
        <s v="T658"/>
        <s v="T659"/>
        <s v="T660"/>
        <s v="T661"/>
        <s v="T662"/>
        <s v="T663"/>
        <s v="T664"/>
        <s v="T665"/>
        <s v="T666"/>
        <s v="T667"/>
        <s v="T668"/>
        <s v="T669"/>
        <s v="T670"/>
        <s v="T671"/>
        <s v="T672"/>
        <s v="T673"/>
        <s v="T674"/>
        <s v="T675"/>
        <s v="T676"/>
        <s v="T677"/>
        <s v="T678"/>
        <s v="T679"/>
        <s v="T680"/>
        <s v="T681"/>
        <s v="T682"/>
        <s v="T683"/>
        <s v="T684"/>
        <s v="T685"/>
        <s v="T686"/>
        <s v="T687"/>
        <s v="T688"/>
        <s v="T689"/>
        <s v="T690"/>
        <s v="T691"/>
        <s v="T692"/>
        <s v="T693"/>
        <s v="T694"/>
        <s v="T695"/>
        <s v="T696"/>
        <s v="T697"/>
        <s v="T698"/>
        <s v="T699"/>
        <s v="T700"/>
        <s v="T701"/>
        <s v="T702"/>
        <s v="T703"/>
        <s v="T704"/>
        <s v="T705"/>
        <s v="T706"/>
        <s v="T707"/>
        <s v="T708"/>
        <s v="T709"/>
        <s v="T710"/>
        <s v="T711"/>
        <s v="T712"/>
        <s v="T713"/>
        <s v="T714"/>
        <s v="T715"/>
        <s v="T716"/>
        <s v="T717"/>
        <s v="T718"/>
        <s v="T719"/>
        <s v="T720"/>
        <s v="T721"/>
        <s v="T722"/>
        <s v="T723"/>
        <s v="T724"/>
        <s v="T725"/>
        <s v="T726"/>
        <s v="T727"/>
        <s v="T728"/>
        <s v="T729"/>
        <s v="T730"/>
        <s v="T731"/>
        <s v="T732"/>
        <s v="T733"/>
        <s v="T734"/>
        <s v="T735"/>
        <s v="T736"/>
        <s v="T737"/>
        <s v="T738"/>
        <s v="T739"/>
        <s v="T740"/>
        <s v="T741"/>
        <s v="T742"/>
        <s v="T743"/>
        <s v="T744"/>
        <s v="T745"/>
        <s v="T746"/>
        <s v="T747"/>
        <s v="T748"/>
        <s v="T749"/>
        <s v="T750"/>
        <s v="T751"/>
        <s v="T752"/>
        <s v="T753"/>
        <s v="T754"/>
        <s v="T755"/>
        <s v="T756"/>
        <s v="T757"/>
        <s v="T758"/>
        <s v="T759"/>
        <s v="T760"/>
        <s v="T761"/>
        <s v="T762"/>
        <s v="T763"/>
        <s v="T764"/>
        <s v="T765"/>
        <s v="T766"/>
        <s v="T767"/>
        <s v="T768"/>
        <s v="T769"/>
        <s v="T770"/>
        <s v="T771"/>
        <s v="T772"/>
        <s v="T773"/>
        <s v="T774"/>
        <s v="T775"/>
        <s v="T776"/>
        <s v="T777"/>
        <s v="T778"/>
        <s v="T779"/>
        <s v="T780"/>
        <s v="T781"/>
        <s v="T782"/>
        <s v="T783"/>
        <s v="T784"/>
        <s v="T785"/>
        <s v="T786"/>
        <s v="T787"/>
        <s v="T788"/>
        <s v="T789"/>
        <s v="T790"/>
        <s v="T791"/>
        <s v="T792"/>
        <s v="T793"/>
        <s v="T794"/>
        <s v="T795"/>
        <s v="T796"/>
        <s v="T797"/>
        <s v="T798"/>
        <s v="T799"/>
        <s v="T800"/>
        <s v="T801"/>
        <s v="T802"/>
        <s v="T803"/>
        <s v="T804"/>
        <s v="T805"/>
        <s v="T806"/>
        <s v="T807"/>
        <s v="T808"/>
        <s v="T809"/>
        <s v="T810"/>
        <s v="T811"/>
        <s v="T812"/>
        <s v="T813"/>
        <s v="T814"/>
        <s v="T815"/>
        <s v="T816"/>
        <s v="T817"/>
        <s v="T818"/>
        <s v="T819"/>
        <s v="T820"/>
        <s v="T821"/>
        <s v="T822"/>
        <s v="T823"/>
        <s v="T824"/>
        <s v="T825"/>
        <s v="T826"/>
        <s v="T827"/>
        <s v="T828"/>
        <s v="T829"/>
        <s v="T830"/>
        <s v="T831"/>
        <s v="T832"/>
        <s v="T833"/>
        <s v="T834"/>
        <s v="T835"/>
        <s v="T836"/>
        <s v="T837"/>
        <s v="T838"/>
        <s v="T839"/>
        <s v="T840"/>
        <s v="T841"/>
        <s v="T842"/>
        <s v="T843"/>
        <s v="T844"/>
        <s v="T845"/>
        <s v="T846"/>
        <s v="T847"/>
        <s v="T848"/>
        <s v="T849"/>
        <s v="T850"/>
        <s v="T851"/>
        <s v="T852"/>
        <s v="T853"/>
        <s v="T854"/>
        <s v="T855"/>
        <s v="T856"/>
        <s v="T857"/>
        <s v="T858"/>
        <s v="T859"/>
        <s v="T860"/>
        <s v="T861"/>
        <s v="T862"/>
        <s v="T863"/>
        <s v="T864"/>
        <s v="T865"/>
        <s v="T866"/>
        <s v="T867"/>
        <s v="T868"/>
        <s v="T869"/>
        <s v="T870"/>
        <s v="T871"/>
        <s v="T872"/>
        <s v="T873"/>
        <s v="T874"/>
        <s v="T875"/>
        <s v="T876"/>
        <s v="T877"/>
        <s v="T878"/>
        <s v="T879"/>
        <s v="T880"/>
        <s v="T881"/>
        <s v="T882"/>
        <s v="T883"/>
        <s v="T884"/>
        <s v="T885"/>
        <s v="T886"/>
        <s v="T887"/>
        <s v="T888"/>
        <s v="T889"/>
        <s v="T890"/>
        <s v="T891"/>
        <s v="T892"/>
        <s v="T893"/>
        <s v="T894"/>
        <s v="T895"/>
        <s v="T896"/>
        <s v="T897"/>
        <s v="T898"/>
        <s v="T899"/>
        <s v="T900"/>
        <s v="T901"/>
        <s v="T902"/>
        <s v="T903"/>
        <s v="T904"/>
        <s v="T905"/>
        <s v="T906"/>
        <s v="T907"/>
        <s v="T908"/>
        <s v="T909"/>
        <s v="T910"/>
        <s v="T911"/>
        <s v="T912"/>
        <s v="T913"/>
        <s v="T914"/>
        <s v="T915"/>
        <s v="T916"/>
        <s v="T917"/>
        <s v="T918"/>
        <s v="T919"/>
        <s v="T920"/>
        <s v="T921"/>
        <s v="T922"/>
        <s v="T923"/>
        <s v="T924"/>
        <s v="T925"/>
        <s v="T926"/>
        <s v="T927"/>
        <s v="T928"/>
        <s v="T929"/>
        <s v="T930"/>
        <s v="T931"/>
        <s v="T932"/>
        <s v="T933"/>
        <s v="T934"/>
        <s v="T935"/>
        <s v="T936"/>
        <s v="T937"/>
        <s v="T938"/>
        <s v="T939"/>
        <s v="T940"/>
        <s v="T941"/>
        <s v="T942"/>
        <s v="T943"/>
        <s v="T944"/>
        <s v="T945"/>
        <s v="T946"/>
        <s v="T947"/>
        <s v="T948"/>
        <s v="T949"/>
        <s v="T950"/>
        <s v="T951"/>
        <s v="T952"/>
        <s v="T953"/>
        <s v="T954"/>
        <s v="T955"/>
        <s v="T956"/>
        <s v="T957"/>
        <s v="T958"/>
        <s v="T959"/>
        <s v="T960"/>
        <s v="T961"/>
        <s v="T962"/>
        <s v="T963"/>
        <s v="T964"/>
        <s v="T965"/>
        <s v="T966"/>
        <s v="T967"/>
        <s v="T968"/>
        <s v="T969"/>
        <s v="T970"/>
        <s v="T971"/>
        <s v="T972"/>
        <s v="T973"/>
        <s v="T974"/>
        <s v="T975"/>
        <s v="T976"/>
        <s v="T977"/>
        <s v="T978"/>
        <s v="T979"/>
        <s v="T980"/>
        <s v="T981"/>
        <s v="T982"/>
        <s v="T983"/>
        <s v="T984"/>
        <s v="T985"/>
        <s v="T986"/>
        <s v="T987"/>
        <s v="T988"/>
        <s v="T989"/>
        <s v="T990"/>
        <s v="T991"/>
        <s v="T992"/>
        <s v="T993"/>
        <s v="T994"/>
        <s v="T995"/>
        <s v="T996"/>
        <s v="T997"/>
        <s v="T998"/>
        <s v="T999"/>
        <s v="T1000"/>
        <s v="T1001"/>
        <s v="T1002"/>
        <s v="T1003"/>
        <s v="T1004"/>
        <s v="T1005"/>
        <s v="T1006"/>
        <s v="T1007"/>
        <s v="T1008"/>
        <s v="T1009"/>
        <s v="T1010"/>
        <s v="T1011"/>
        <s v="T1012"/>
        <s v="T1013"/>
        <s v="T1014"/>
        <s v="T1015"/>
        <s v="T1016"/>
        <s v="T1017"/>
        <s v="T1018"/>
        <s v="T1019"/>
        <s v="T1020"/>
        <s v="T1021"/>
        <s v="T1022"/>
        <s v="T1023"/>
        <s v="T1024"/>
        <s v="T1025"/>
        <s v="T1026"/>
        <s v="T1027"/>
        <s v="T1028"/>
        <s v="T1029"/>
        <s v="T1030"/>
        <s v="T1031"/>
        <s v="T1032"/>
        <s v="T1033"/>
        <s v="T1034"/>
        <s v="T1035"/>
        <s v="T1036"/>
        <s v="T1037"/>
        <s v="T1038"/>
        <s v="T1039"/>
        <s v="T1040"/>
        <s v="T1041"/>
        <s v="T1042"/>
        <s v="T1043"/>
        <s v="T1044"/>
        <s v="T1045"/>
        <s v="T1046"/>
        <s v="T1047"/>
        <s v="T1048"/>
        <s v="T1049"/>
        <s v="T1050"/>
        <s v="T1051"/>
        <s v="T1052"/>
        <s v="T1053"/>
        <s v="T1054"/>
        <s v="T1055"/>
        <s v="T1056"/>
        <s v="T1057"/>
        <s v="T1058"/>
        <s v="T1059"/>
        <s v="T1060"/>
        <s v="T1061"/>
        <s v="T1062"/>
        <s v="T1063"/>
        <s v="T1064"/>
        <s v="T1065"/>
        <s v="T1066"/>
        <s v="T1067"/>
        <s v="T1068"/>
        <s v="T1069"/>
        <s v="T1070"/>
        <s v="T1071"/>
        <s v="T1072"/>
        <s v="T1073"/>
        <s v="T1074"/>
        <s v="T1075"/>
        <s v="T1076"/>
        <s v="T1077"/>
        <s v="T1078"/>
        <s v="T1079"/>
        <s v="T1080"/>
        <s v="T1081"/>
        <s v="T1082"/>
        <s v="T1083"/>
        <s v="T1084"/>
        <s v="T1085"/>
        <s v="T1086"/>
        <s v="T1087"/>
        <s v="T1088"/>
        <s v="T1089"/>
        <s v="T1090"/>
        <s v="T1091"/>
        <s v="T1092"/>
        <s v="T1093"/>
        <s v="T1094"/>
        <s v="T1095"/>
        <s v="T1096"/>
        <s v="T1097"/>
        <s v="T1098"/>
        <s v="T1099"/>
        <s v="T1100"/>
        <s v="T1101"/>
        <s v="T1102"/>
        <s v="T1103"/>
        <s v="T1104"/>
        <s v="T1105"/>
        <s v="T1106"/>
        <s v="T1107"/>
        <s v="T1108"/>
        <s v="T1109"/>
        <s v="T1110"/>
        <s v="T1111"/>
        <s v="T1112"/>
        <s v="T1113"/>
        <s v="T1114"/>
        <s v="T1115"/>
        <s v="T1116"/>
        <s v="T1117"/>
        <s v="T1118"/>
        <s v="T1119"/>
        <s v="T1120"/>
        <s v="T1121"/>
        <s v="T1122"/>
        <s v="T1123"/>
        <s v="T1124"/>
        <s v="T1125"/>
        <s v="T1126"/>
        <s v="T1127"/>
        <s v="T1128"/>
        <s v="T1129"/>
        <s v="T1130"/>
        <s v="T1131"/>
        <s v="T1132"/>
      </sharedItems>
    </cacheField>
    <cacheField name="Region" numFmtId="0">
      <sharedItems count="5">
        <s v="Asia"/>
        <s v="Europe"/>
        <s v="North America"/>
        <s v="South America"/>
        <s v="Africa"/>
      </sharedItems>
    </cacheField>
    <cacheField name="Country" numFmtId="0">
      <sharedItems count="15">
        <s v="India"/>
        <s v="Germany"/>
        <s v="USA"/>
        <s v="Argentina"/>
        <s v="Kenya"/>
        <s v="Mexico"/>
        <s v="Chile"/>
        <s v="China"/>
        <s v="Japan"/>
        <s v="Brazil"/>
        <s v="UK"/>
        <s v="France"/>
        <s v="Nigeria"/>
        <s v="South Africa"/>
        <s v="Canada"/>
      </sharedItems>
    </cacheField>
    <cacheField name="Request Type" numFmtId="0">
      <sharedItems count="8">
        <s v="Password Reset"/>
        <s v="Server Downtime"/>
        <s v="VPN Access"/>
        <s v="Access Request"/>
        <s v="Software Install"/>
        <s v="Printer Issue"/>
        <s v="Email Setup"/>
        <s v="Network Issue"/>
      </sharedItems>
    </cacheField>
    <cacheField name="Request Description" numFmtId="0">
      <sharedItems count="199">
        <s v="Reduce discuss specific answer provide."/>
        <s v="Wait result relationship create throughout behind would."/>
        <s v="Away only happy quality even we take consider."/>
        <s v="Claim not expert information really course get politics region human."/>
        <s v="Top executive lead speak wrong choose decide."/>
        <s v="Home memory would as evening attorney amount."/>
        <s v="Teach pick expect on director go wide agent thousand force."/>
        <s v="Those too car yard early ever only such fall necessary."/>
        <s v="Final military play push make interview few approach professor this."/>
        <s v="Source per out arm tax all since seem animal."/>
        <s v="Third focus consider teacher also."/>
        <s v="Foreign conference data poor I somebody her ok relationship."/>
        <s v="Space customer social organization budget."/>
        <s v="Point improve road people street laugh conference myself us keep adult."/>
        <s v="Black guess argue especially perform."/>
        <s v="Miss what plant again ready."/>
        <s v="Mean often miss student coach how whose really everybody."/>
        <s v="Fire require economy wear already arrive."/>
        <s v="Draw certainly where several discussion lay."/>
        <s v="Traditional public reduce party guess."/>
        <s v="Lose prove tax thousand son."/>
        <s v="Rule company beat station building executive purpose bar choose week."/>
        <s v="Serve radio toward kind fall or prevent protect able."/>
        <s v="Energy upon compare my ahead where matter."/>
        <s v="Near marriage stuff later option determine."/>
        <s v="She community worry improve response result get its fly box."/>
        <s v="Contain area start each reason."/>
        <s v="Image enough reach her staff everyone minute shake."/>
        <s v="Myself turn message catch use activity president reality age ago consider."/>
        <s v="Usually former stay age both safe."/>
        <s v="Kid almost establish explain record operation."/>
        <s v="Maybe shoulder either tend church ago city."/>
        <s v="Discuss lead miss run paper."/>
        <s v="Well arm exactly action."/>
        <s v="Energy care policy manage political customer tree dinner behavior region."/>
        <s v="Growth enjoy program ground charge parent listen so."/>
        <s v="About guess reality vote task any right."/>
        <s v="Upon again fund yet customer plant job."/>
        <s v="Must leader benefit phone nothing authority civil PM game."/>
        <s v="Husband majority perhaps seven ground strong focus."/>
        <s v="Mention identify meet condition produce agent none authority travel attack."/>
        <s v="Director so decade improve property social."/>
        <s v="Expert fund remain meet view without seven rich."/>
        <s v="Assume whom political according way over other."/>
        <s v="Employee view computer particularly successful."/>
        <s v="Theory type break picture choose son professor."/>
        <s v="Under woman individual baby do."/>
        <s v="Available represent notice subject knowledge."/>
        <s v="View wind small share energy fire arrive."/>
        <s v="College top with especially type how fire station four throughout."/>
        <s v="Region career speak figure role someone doctor young itself."/>
        <s v="All page he she decision protect head."/>
        <s v="Week act of piece kitchen technology drive blood."/>
        <s v="Back study similar what paper job church energy."/>
        <s v="Manager PM recent yes example word wide source far."/>
        <s v="Clearly around yeah network top available another save dog."/>
        <s v="Present style baby street board popular onto seven technology."/>
        <s v="Nature something president seven person between board hand myself they."/>
        <s v="Adult either work amount its other theory instead."/>
        <s v="Main model hand attorney mind parent guess or."/>
        <s v="Society front yourself sister data although."/>
        <s v="Put issue window late audience Congress friend available impact."/>
        <s v="Success summer off really public pull."/>
        <s v="Else support number prevent hand church win help."/>
        <s v="Interesting image protect early trip fine manage."/>
        <s v="More foot culture right happen."/>
        <s v="Choice become knowledge once until try media inside."/>
        <s v="Both modern any item small information according full side risk."/>
        <s v="Physical threat purpose these quality key rich."/>
        <s v="Firm during notice investment draw safe wind party."/>
        <s v="Sport look forget feel property less kid."/>
        <s v="Notice age how social camera personal."/>
        <s v="Address individual doctor fine."/>
        <s v="Window international always cause break set suffer thank order."/>
        <s v="Nothing manage nice move action those here."/>
        <s v="Rather end it employee."/>
        <s v="Themselves easy picture third share individual do now."/>
        <s v="Occur dream one late character pressure."/>
        <s v="Simply company choice recently least cover crime."/>
        <s v="Hit they you store."/>
        <s v="Administration opportunity education represent here."/>
        <s v="Reason new discover decide buy free contain any eat make he."/>
        <s v="Such act sort decision lose card history many."/>
        <s v="Coach everybody meet red fire nothing parent like here."/>
        <s v="Operation citizen rich environmental wrong example prepare."/>
        <s v="Rather about give dinner when instead since seven."/>
        <s v="Paper rich particularly country pay."/>
        <s v="Without use peace good apply activity make."/>
        <s v="Change concern factor green store worry well."/>
        <s v="Nature why once number idea owner power wait."/>
        <s v="Treatment clearly teach argue."/>
        <s v="Prepare effect strong sure sister yes."/>
        <s v="The scene employee of area stop them character southern."/>
        <s v="Activity drug agreement western hold himself very."/>
        <s v="Book degree new data night last focus it during into blood."/>
        <s v="Material ok ask attorney end simply image summer oil."/>
        <s v="Against manager reveal you down sing floor finally meeting main."/>
        <s v="Might bit group two court manage particularly meeting station relate."/>
        <s v="Six local itself size commercial."/>
        <s v="Democrat sound pattern how author include design bill poor television."/>
        <s v="Special effort provide interview word fight."/>
        <s v="Church like half activity first chance bad head standard kitchen."/>
        <s v="Entire necessary without front throughout office political."/>
        <s v="Traditional major already husband with follow sign purpose."/>
        <s v="Thus camera mother structure will society tell whom amount should campaign."/>
        <s v="Action year argue usually ground clear war interview garden brother."/>
        <s v="Thus red senior term movie fall less."/>
        <s v="Stand reveal story compare mean last war stock happen book."/>
        <s v="Pull official father political marriage traditional can perhaps."/>
        <s v="Worry time notice happen close daughter case."/>
        <s v="Parent outside fact base clear."/>
        <s v="Different interesting who both board lot course road drop around."/>
        <s v="Call exactly protect order their lose organization money."/>
        <s v="Describe account run hope turn run organization employee."/>
        <s v="Their shoulder involve opportunity present he market positive."/>
        <s v="Drop employee religious too age tell word size up."/>
        <s v="Control force be sell contain."/>
        <s v="Well town month should bag."/>
        <s v="North goal only since specific major just theory seek."/>
        <s v="City should discuss election rate."/>
        <s v="Model hand recent image around since history order."/>
        <s v="Word member certain policy no."/>
        <s v="Everybody late feeling lot sort follow investment figure other maintain."/>
        <s v="Build interesting interest little level often national."/>
        <s v="Find board region draw reflect goal event special way along."/>
        <s v="Debate history art know either."/>
        <s v="Attention road physical imagine drop eight writer wind middle of."/>
        <s v="Through nothing money recognize."/>
        <s v="Far these him easy girl street."/>
        <s v="Week when future region travel."/>
        <s v="Call despite for American whether call during may."/>
        <s v="Himself benefit food true skill add on."/>
        <s v="Suddenly figure again but keep leave form real threat."/>
        <s v="Home word worry east that."/>
        <s v="Stay money education can debate care traditional left."/>
        <s v="Often offer he box road they inside huge animal."/>
        <s v="Central data year recently one former television how financial describe type."/>
        <s v="Simply fact like alone cover yeah listen rather."/>
        <s v="People billion through resource meet believe rather build huge establish."/>
        <s v="Fire administration notice voice address much student play send."/>
        <s v="Behavior tonight also day fill."/>
        <s v="Practice throw protect good without note reach pull."/>
        <s v="Suffer end lay north move again."/>
        <s v="Only than who know."/>
        <s v="Big once who suggest either."/>
        <s v="Price yourself entire price pull another safe gas."/>
        <s v="Fill research kid left wonder send difference seven."/>
        <s v="Activity let law economy body couple ever possible past career."/>
        <s v="Full we keep member total find none."/>
        <s v="That feeling end second happy week impact clear."/>
        <s v="Maybe four character end product."/>
        <s v="No should most social open nice form recognize east have."/>
        <s v="Work successful your walk the with class million determine attention it."/>
        <s v="Before note could discuss officer."/>
        <s v="Career protect college us discussion."/>
        <s v="Collection subject response peace add something."/>
        <s v="Individual also claim ask hit avoid day already."/>
        <s v="Bad lay apply affect watch religious development commercial."/>
        <s v="Pm game cup international important those everyone term start management."/>
        <s v="Boy standard ahead before first point page than."/>
        <s v="Himself nothing public season why."/>
        <s v="Share miss everyone structure sign change."/>
        <s v="History cold account attack lawyer unit peace although film onto run."/>
        <s v="What continue help cut situation Democrat."/>
        <s v="Bed reduce major feel seem federal reality concern movement table clear."/>
        <s v="Western off where hold hotel public least."/>
        <s v="Reduce truth without medical hand."/>
        <s v="Task personal community various and room build present fund big."/>
        <s v="Sure couple consider service really discussion look responsibility lead."/>
        <s v="Final seem financial appear represent chance."/>
        <s v="Research far not detail opportunity instead."/>
        <s v="Wear play marriage age window player her risk meet."/>
        <s v="Service total story daughter ready arm."/>
        <s v="Else arrive physical prove example what prevent impact his PM."/>
        <s v="Catch machine computer author prevent bring in force."/>
        <s v="Face director represent executive sense price phone style choose."/>
        <s v="Thousand whole building appear collection structure color walk right."/>
        <s v="Accept soon any fill seek may."/>
        <s v="Trouble certain happen imagine throughout Democrat goal crime also above."/>
        <s v="Concern charge opportunity against challenge Congress someone else late."/>
        <s v="Move well cause reveal improve include business."/>
        <s v="Push heart discussion however receive film each past its I near."/>
        <s v="Whom run note send hold first build serious."/>
        <s v="Condition spring foot far avoid many wear line president."/>
        <s v="Likely view see important paper."/>
        <s v="Behind foreign after serve good skin knowledge hope."/>
        <s v="Item fund own as feel source way."/>
        <s v="Education through produce series last several record likely me."/>
        <s v="Yes explain why morning voice Republican again step old."/>
        <s v="Toward since civil away."/>
        <s v="Sport her radio look marriage."/>
        <s v="Against they event which whose."/>
        <s v="Top act about police fill."/>
        <s v="Soon especially expect he today entire protect risk radio."/>
        <s v="Decade natural stock hard someone."/>
        <s v="I what question until sister media receive list sound project floor."/>
        <s v="Drive that stay why imagine partner country care employee."/>
        <s v="Short practice easy front left what owner condition."/>
        <s v="Huge yourself just amount list."/>
      </sharedItems>
    </cacheField>
    <cacheField name="Priority" numFmtId="0">
      <sharedItems count="3">
        <s v="High"/>
        <s v="Low"/>
        <s v="Medium"/>
      </sharedItems>
    </cacheField>
    <cacheField name="Assigned To" numFmtId="0">
      <sharedItems count="6">
        <s v="Robert"/>
        <s v="Alice"/>
        <s v="Nina"/>
        <s v="Mike"/>
        <s v="Sarah"/>
        <s v="John"/>
      </sharedItems>
    </cacheField>
    <cacheField name="Open Date" numFmtId="14">
      <sharedItems containsSemiMixedTypes="0" containsNonDate="0" containsDate="1" containsString="0" minDate="2024-01-01T00:00:00" maxDate="2024-12-29T00:00:00" count="239">
        <d v="2024-02-20T00:00:00"/>
        <d v="2024-06-02T00:00:00"/>
        <d v="2024-02-09T00:00:00"/>
        <d v="2024-06-01T00:00:00"/>
        <d v="2024-01-13T00:00:00"/>
        <d v="2024-02-16T00:00:00"/>
        <d v="2024-01-23T00:00:00"/>
        <d v="2024-04-18T00:00:00"/>
        <d v="2024-05-16T00:00:00"/>
        <d v="2024-04-02T00:00:00"/>
        <d v="2024-05-25T00:00:00"/>
        <d v="2024-06-08T00:00:00"/>
        <d v="2024-02-22T00:00:00"/>
        <d v="2024-06-09T00:00:00"/>
        <d v="2024-01-05T00:00:00"/>
        <d v="2024-03-10T00:00:00"/>
        <d v="2024-04-23T00:00:00"/>
        <d v="2024-02-04T00:00:00"/>
        <d v="2024-02-07T00:00:00"/>
        <d v="2024-01-10T00:00:00"/>
        <d v="2024-05-01T00:00:00"/>
        <d v="2024-03-26T00:00:00"/>
        <d v="2024-01-31T00:00:00"/>
        <d v="2024-04-10T00:00:00"/>
        <d v="2024-01-24T00:00:00"/>
        <d v="2024-05-18T00:00:00"/>
        <d v="2024-02-08T00:00:00"/>
        <d v="2024-04-25T00:00:00"/>
        <d v="2024-01-28T00:00:00"/>
        <d v="2024-03-07T00:00:00"/>
        <d v="2024-06-06T00:00:00"/>
        <d v="2024-05-02T00:00:00"/>
        <d v="2024-02-23T00:00:00"/>
        <d v="2024-03-08T00:00:00"/>
        <d v="2024-04-15T00:00:00"/>
        <d v="2024-04-12T00:00:00"/>
        <d v="2024-05-22T00:00:00"/>
        <d v="2024-01-30T00:00:00"/>
        <d v="2024-05-06T00:00:00"/>
        <d v="2024-05-27T00:00:00"/>
        <d v="2024-03-21T00:00:00"/>
        <d v="2024-06-27T00:00:00"/>
        <d v="2024-04-08T00:00:00"/>
        <d v="2024-01-01T00:00:00"/>
        <d v="2024-05-11T00:00:00"/>
        <d v="2024-05-19T00:00:00"/>
        <d v="2024-04-14T00:00:00"/>
        <d v="2024-04-07T00:00:00"/>
        <d v="2024-05-04T00:00:00"/>
        <d v="2024-03-01T00:00:00"/>
        <d v="2024-05-09T00:00:00"/>
        <d v="2024-01-18T00:00:00"/>
        <d v="2024-04-24T00:00:00"/>
        <d v="2024-01-03T00:00:00"/>
        <d v="2024-04-26T00:00:00"/>
        <d v="2024-04-04T00:00:00"/>
        <d v="2024-04-06T00:00:00"/>
        <d v="2024-03-20T00:00:00"/>
        <d v="2024-03-09T00:00:00"/>
        <d v="2024-02-14T00:00:00"/>
        <d v="2024-03-05T00:00:00"/>
        <d v="2024-04-27T00:00:00"/>
        <d v="2024-02-17T00:00:00"/>
        <d v="2024-05-26T00:00:00"/>
        <d v="2024-04-19T00:00:00"/>
        <d v="2024-01-29T00:00:00"/>
        <d v="2024-03-15T00:00:00"/>
        <d v="2024-04-17T00:00:00"/>
        <d v="2024-03-22T00:00:00"/>
        <d v="2024-01-12T00:00:00"/>
        <d v="2024-05-21T00:00:00"/>
        <d v="2024-05-03T00:00:00"/>
        <d v="2024-04-30T00:00:00"/>
        <d v="2024-04-09T00:00:00"/>
        <d v="2024-01-27T00:00:00"/>
        <d v="2024-01-22T00:00:00"/>
        <d v="2024-03-27T00:00:00"/>
        <d v="2024-03-14T00:00:00"/>
        <d v="2024-04-11T00:00:00"/>
        <d v="2024-05-20T00:00:00"/>
        <d v="2024-04-21T00:00:00"/>
        <d v="2024-06-07T00:00:00"/>
        <d v="2024-01-08T00:00:00"/>
        <d v="2024-01-14T00:00:00"/>
        <d v="2024-02-15T00:00:00"/>
        <d v="2024-01-11T00:00:00"/>
        <d v="2024-03-30T00:00:00"/>
        <d v="2024-01-15T00:00:00"/>
        <d v="2024-02-11T00:00:00"/>
        <d v="2024-03-02T00:00:00"/>
        <d v="2024-05-24T00:00:00"/>
        <d v="2024-03-24T00:00:00"/>
        <d v="2024-05-13T00:00:00"/>
        <d v="2024-03-28T00:00:00"/>
        <d v="2024-06-04T00:00:00"/>
        <d v="2024-03-16T00:00:00"/>
        <d v="2024-05-05T00:00:00"/>
        <d v="2024-01-20T00:00:00"/>
        <d v="2024-06-03T00:00:00"/>
        <d v="2024-03-19T00:00:00"/>
        <d v="2024-03-11T00:00:00"/>
        <d v="2024-02-21T00:00:00"/>
        <d v="2024-02-24T00:00:00"/>
        <d v="2024-01-16T00:00:00"/>
        <d v="2024-05-28T00:00:00"/>
        <d v="2024-05-08T00:00:00"/>
        <d v="2024-05-30T00:00:00"/>
        <d v="2024-03-31T00:00:00"/>
        <d v="2024-02-06T00:00:00"/>
        <d v="2024-02-03T00:00:00"/>
        <d v="2024-04-20T00:00:00"/>
        <d v="2024-02-18T00:00:00"/>
        <d v="2024-03-29T00:00:00"/>
        <d v="2024-03-03T00:00:00"/>
        <d v="2024-01-19T00:00:00"/>
        <d v="2024-06-18T00:00:00"/>
        <d v="2024-06-24T00:00:00"/>
        <d v="2024-06-28T00:00:00"/>
        <d v="2024-06-16T00:00:00"/>
        <d v="2024-06-21T00:00:00"/>
        <d v="2024-08-20T00:00:00"/>
        <d v="2024-12-02T00:00:00"/>
        <d v="2024-08-09T00:00:00"/>
        <d v="2024-12-01T00:00:00"/>
        <d v="2024-07-13T00:00:00"/>
        <d v="2024-08-16T00:00:00"/>
        <d v="2024-07-23T00:00:00"/>
        <d v="2024-10-18T00:00:00"/>
        <d v="2024-11-16T00:00:00"/>
        <d v="2024-10-02T00:00:00"/>
        <d v="2024-11-25T00:00:00"/>
        <d v="2024-12-08T00:00:00"/>
        <d v="2024-08-22T00:00:00"/>
        <d v="2024-12-09T00:00:00"/>
        <d v="2024-07-05T00:00:00"/>
        <d v="2024-09-10T00:00:00"/>
        <d v="2024-10-23T00:00:00"/>
        <d v="2024-08-04T00:00:00"/>
        <d v="2024-08-07T00:00:00"/>
        <d v="2024-07-10T00:00:00"/>
        <d v="2024-11-01T00:00:00"/>
        <d v="2024-09-26T00:00:00"/>
        <d v="2024-07-31T00:00:00"/>
        <d v="2024-10-10T00:00:00"/>
        <d v="2024-07-24T00:00:00"/>
        <d v="2024-11-18T00:00:00"/>
        <d v="2024-08-08T00:00:00"/>
        <d v="2024-10-25T00:00:00"/>
        <d v="2024-07-28T00:00:00"/>
        <d v="2024-09-07T00:00:00"/>
        <d v="2024-12-06T00:00:00"/>
        <d v="2024-11-02T00:00:00"/>
        <d v="2024-08-23T00:00:00"/>
        <d v="2024-09-08T00:00:00"/>
        <d v="2024-10-15T00:00:00"/>
        <d v="2024-10-12T00:00:00"/>
        <d v="2024-11-22T00:00:00"/>
        <d v="2024-07-30T00:00:00"/>
        <d v="2024-11-06T00:00:00"/>
        <d v="2024-11-27T00:00:00"/>
        <d v="2024-09-21T00:00:00"/>
        <d v="2024-12-27T00:00:00"/>
        <d v="2024-10-08T00:00:00"/>
        <d v="2024-07-01T00:00:00"/>
        <d v="2024-11-11T00:00:00"/>
        <d v="2024-11-19T00:00:00"/>
        <d v="2024-10-14T00:00:00"/>
        <d v="2024-10-07T00:00:00"/>
        <d v="2024-11-04T00:00:00"/>
        <d v="2024-09-01T00:00:00"/>
        <d v="2024-11-09T00:00:00"/>
        <d v="2024-07-18T00:00:00"/>
        <d v="2024-10-24T00:00:00"/>
        <d v="2024-07-03T00:00:00"/>
        <d v="2024-10-26T00:00:00"/>
        <d v="2024-10-04T00:00:00"/>
        <d v="2024-10-06T00:00:00"/>
        <d v="2024-09-20T00:00:00"/>
        <d v="2024-09-09T00:00:00"/>
        <d v="2024-08-14T00:00:00"/>
        <d v="2024-09-05T00:00:00"/>
        <d v="2024-10-27T00:00:00"/>
        <d v="2024-08-17T00:00:00"/>
        <d v="2024-11-26T00:00:00"/>
        <d v="2024-10-19T00:00:00"/>
        <d v="2024-07-29T00:00:00"/>
        <d v="2024-09-15T00:00:00"/>
        <d v="2024-10-17T00:00:00"/>
        <d v="2024-09-22T00:00:00"/>
        <d v="2024-07-12T00:00:00"/>
        <d v="2024-11-21T00:00:00"/>
        <d v="2024-11-03T00:00:00"/>
        <d v="2024-10-30T00:00:00"/>
        <d v="2024-10-09T00:00:00"/>
        <d v="2024-07-27T00:00:00"/>
        <d v="2024-07-22T00:00:00"/>
        <d v="2024-09-27T00:00:00"/>
        <d v="2024-09-14T00:00:00"/>
        <d v="2024-10-11T00:00:00"/>
        <d v="2024-11-20T00:00:00"/>
        <d v="2024-10-21T00:00:00"/>
        <d v="2024-12-07T00:00:00"/>
        <d v="2024-07-08T00:00:00"/>
        <d v="2024-07-14T00:00:00"/>
        <d v="2024-08-15T00:00:00"/>
        <d v="2024-07-11T00:00:00"/>
        <d v="2024-09-30T00:00:00"/>
        <d v="2024-07-15T00:00:00"/>
        <d v="2024-08-11T00:00:00"/>
        <d v="2024-09-02T00:00:00"/>
        <d v="2024-11-24T00:00:00"/>
        <d v="2024-09-24T00:00:00"/>
        <d v="2024-11-13T00:00:00"/>
        <d v="2024-09-28T00:00:00"/>
        <d v="2024-12-04T00:00:00"/>
        <d v="2024-09-16T00:00:00"/>
        <d v="2024-11-05T00:00:00"/>
        <d v="2024-07-20T00:00:00"/>
        <d v="2024-12-03T00:00:00"/>
        <d v="2024-09-19T00:00:00"/>
        <d v="2024-09-11T00:00:00"/>
        <d v="2024-08-21T00:00:00"/>
        <d v="2024-08-24T00:00:00"/>
        <d v="2024-07-16T00:00:00"/>
        <d v="2024-11-28T00:00:00"/>
        <d v="2024-11-08T00:00:00"/>
        <d v="2024-11-30T00:00:00"/>
        <d v="2024-08-06T00:00:00"/>
        <d v="2024-08-03T00:00:00"/>
        <d v="2024-10-20T00:00:00"/>
        <d v="2024-08-18T00:00:00"/>
        <d v="2024-09-29T00:00:00"/>
        <d v="2024-09-03T00:00:00"/>
        <d v="2024-07-19T00:00:00"/>
        <d v="2024-12-18T00:00:00"/>
        <d v="2024-12-24T00:00:00"/>
        <d v="2024-12-28T00:00:00"/>
        <d v="2024-12-16T00:00:00"/>
        <d v="2024-12-21T00:00:00"/>
      </sharedItems>
      <fieldGroup par="16"/>
    </cacheField>
    <cacheField name="Close Date" numFmtId="14">
      <sharedItems containsSemiMixedTypes="0" containsNonDate="0" containsDate="1" containsString="0" minDate="2024-01-01T00:00:00" maxDate="2024-12-29T00:00:00"/>
    </cacheField>
    <cacheField name="Actual Days" numFmtId="0">
      <sharedItems containsSemiMixedTypes="0" containsString="0" containsNumber="1" containsInteger="1" minValue="0" maxValue="1"/>
    </cacheField>
    <cacheField name="Status" numFmtId="0">
      <sharedItems count="2">
        <s v="Met"/>
        <s v="Not Met"/>
      </sharedItems>
    </cacheField>
    <cacheField name="Month" numFmtId="0">
      <sharedItems count="12">
        <s v="Feb"/>
        <s v="Jun"/>
        <s v="Jan"/>
        <s v="Apr"/>
        <s v="May"/>
        <s v="Mar"/>
        <s v="Aug"/>
        <s v="Dec"/>
        <s v="Jul"/>
        <s v="Oct"/>
        <s v="Nov"/>
        <s v="Sep"/>
      </sharedItems>
    </cacheField>
    <cacheField name="Actual Days2" numFmtId="0">
      <sharedItems containsSemiMixedTypes="0" containsString="0" containsNumber="1" containsInteger="1" minValue="0" maxValue="1"/>
    </cacheField>
    <cacheField name="Status2" numFmtId="0">
      <sharedItems count="2">
        <s v="Met"/>
        <s v="Not Met"/>
      </sharedItems>
    </cacheField>
    <cacheField name="Month2" numFmtId="0">
      <sharedItems count="12">
        <s v="Feb"/>
        <s v="Jun"/>
        <s v="Jan"/>
        <s v="Apr"/>
        <s v="May"/>
        <s v="Mar"/>
        <s v="Aug"/>
        <s v="Dec"/>
        <s v="Jul"/>
        <s v="Oct"/>
        <s v="Nov"/>
        <s v="Sep"/>
      </sharedItems>
    </cacheField>
    <cacheField name="Days (Open Date)" numFmtId="0" databaseField="0">
      <fieldGroup base="7">
        <rangePr groupBy="days" startDate="2024-01-01T00:00:00" endDate="2024-12-29T00:00:00"/>
        <groupItems count="368">
          <s v="&lt;01-01-20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29-12-2024"/>
        </groupItems>
      </fieldGroup>
    </cacheField>
    <cacheField name="Months (Open Date)" numFmtId="0" databaseField="0">
      <fieldGroup base="7">
        <rangePr groupBy="months" startDate="2024-01-01T00:00:00" endDate="2024-12-29T00:00:00"/>
        <groupItems count="14">
          <s v="&lt;01-01-2024"/>
          <s v="Jan"/>
          <s v="Feb"/>
          <s v="Mar"/>
          <s v="Apr"/>
          <s v="May"/>
          <s v="Jun"/>
          <s v="Jul"/>
          <s v="Aug"/>
          <s v="Sep"/>
          <s v="Oct"/>
          <s v="Nov"/>
          <s v="Dec"/>
          <s v="&gt;29-12-2024"/>
        </groupItems>
      </fieldGroup>
    </cacheField>
  </cacheFields>
  <extLst>
    <ext xmlns:x14="http://schemas.microsoft.com/office/spreadsheetml/2009/9/main" uri="{725AE2AE-9491-48be-B2B4-4EB974FC3084}">
      <x14:pivotCacheDefinition pivotCacheId="102266711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26">
  <r>
    <x v="0"/>
    <x v="0"/>
    <x v="0"/>
    <x v="0"/>
    <x v="0"/>
    <x v="0"/>
    <x v="0"/>
    <x v="0"/>
    <d v="2024-02-20T00:00:00"/>
    <n v="0"/>
    <x v="0"/>
    <x v="0"/>
    <n v="0"/>
    <x v="0"/>
    <x v="0"/>
  </r>
  <r>
    <x v="1"/>
    <x v="1"/>
    <x v="1"/>
    <x v="1"/>
    <x v="1"/>
    <x v="1"/>
    <x v="1"/>
    <x v="1"/>
    <d v="2024-06-02T00:00:00"/>
    <n v="0"/>
    <x v="0"/>
    <x v="1"/>
    <n v="0"/>
    <x v="0"/>
    <x v="1"/>
  </r>
  <r>
    <x v="2"/>
    <x v="2"/>
    <x v="2"/>
    <x v="2"/>
    <x v="2"/>
    <x v="1"/>
    <x v="2"/>
    <x v="2"/>
    <d v="2024-02-09T00:00:00"/>
    <n v="0"/>
    <x v="0"/>
    <x v="0"/>
    <n v="0"/>
    <x v="0"/>
    <x v="0"/>
  </r>
  <r>
    <x v="3"/>
    <x v="3"/>
    <x v="3"/>
    <x v="3"/>
    <x v="3"/>
    <x v="2"/>
    <x v="0"/>
    <x v="3"/>
    <d v="2024-06-01T00:00:00"/>
    <n v="0"/>
    <x v="0"/>
    <x v="1"/>
    <n v="0"/>
    <x v="0"/>
    <x v="1"/>
  </r>
  <r>
    <x v="4"/>
    <x v="4"/>
    <x v="4"/>
    <x v="1"/>
    <x v="4"/>
    <x v="2"/>
    <x v="3"/>
    <x v="4"/>
    <d v="2024-01-13T00:00:00"/>
    <n v="0"/>
    <x v="0"/>
    <x v="2"/>
    <n v="0"/>
    <x v="0"/>
    <x v="2"/>
  </r>
  <r>
    <x v="5"/>
    <x v="1"/>
    <x v="1"/>
    <x v="0"/>
    <x v="5"/>
    <x v="2"/>
    <x v="4"/>
    <x v="5"/>
    <d v="2024-02-16T00:00:00"/>
    <n v="0"/>
    <x v="0"/>
    <x v="0"/>
    <n v="0"/>
    <x v="0"/>
    <x v="0"/>
  </r>
  <r>
    <x v="6"/>
    <x v="2"/>
    <x v="5"/>
    <x v="0"/>
    <x v="6"/>
    <x v="2"/>
    <x v="3"/>
    <x v="6"/>
    <d v="2024-01-24T00:00:00"/>
    <n v="1"/>
    <x v="1"/>
    <x v="2"/>
    <n v="1"/>
    <x v="1"/>
    <x v="2"/>
  </r>
  <r>
    <x v="7"/>
    <x v="2"/>
    <x v="5"/>
    <x v="3"/>
    <x v="7"/>
    <x v="0"/>
    <x v="2"/>
    <x v="7"/>
    <d v="2024-04-18T00:00:00"/>
    <n v="0"/>
    <x v="0"/>
    <x v="3"/>
    <n v="0"/>
    <x v="0"/>
    <x v="3"/>
  </r>
  <r>
    <x v="8"/>
    <x v="0"/>
    <x v="0"/>
    <x v="3"/>
    <x v="8"/>
    <x v="2"/>
    <x v="5"/>
    <x v="8"/>
    <d v="2024-05-17T00:00:00"/>
    <n v="1"/>
    <x v="1"/>
    <x v="4"/>
    <n v="1"/>
    <x v="1"/>
    <x v="4"/>
  </r>
  <r>
    <x v="9"/>
    <x v="3"/>
    <x v="6"/>
    <x v="3"/>
    <x v="9"/>
    <x v="1"/>
    <x v="3"/>
    <x v="9"/>
    <d v="2024-04-02T00:00:00"/>
    <n v="0"/>
    <x v="0"/>
    <x v="3"/>
    <n v="0"/>
    <x v="0"/>
    <x v="3"/>
  </r>
  <r>
    <x v="10"/>
    <x v="0"/>
    <x v="7"/>
    <x v="1"/>
    <x v="10"/>
    <x v="1"/>
    <x v="2"/>
    <x v="10"/>
    <d v="2024-05-26T00:00:00"/>
    <n v="1"/>
    <x v="1"/>
    <x v="4"/>
    <n v="1"/>
    <x v="1"/>
    <x v="4"/>
  </r>
  <r>
    <x v="11"/>
    <x v="0"/>
    <x v="8"/>
    <x v="3"/>
    <x v="11"/>
    <x v="2"/>
    <x v="4"/>
    <x v="11"/>
    <d v="2024-06-08T00:00:00"/>
    <n v="0"/>
    <x v="0"/>
    <x v="1"/>
    <n v="0"/>
    <x v="0"/>
    <x v="1"/>
  </r>
  <r>
    <x v="12"/>
    <x v="3"/>
    <x v="3"/>
    <x v="3"/>
    <x v="12"/>
    <x v="1"/>
    <x v="5"/>
    <x v="12"/>
    <d v="2024-02-22T00:00:00"/>
    <n v="0"/>
    <x v="0"/>
    <x v="0"/>
    <n v="0"/>
    <x v="0"/>
    <x v="0"/>
  </r>
  <r>
    <x v="13"/>
    <x v="0"/>
    <x v="0"/>
    <x v="4"/>
    <x v="13"/>
    <x v="0"/>
    <x v="2"/>
    <x v="0"/>
    <d v="2024-02-20T00:00:00"/>
    <n v="0"/>
    <x v="0"/>
    <x v="0"/>
    <n v="0"/>
    <x v="0"/>
    <x v="0"/>
  </r>
  <r>
    <x v="14"/>
    <x v="3"/>
    <x v="9"/>
    <x v="4"/>
    <x v="14"/>
    <x v="0"/>
    <x v="0"/>
    <x v="13"/>
    <d v="2024-06-09T00:00:00"/>
    <n v="0"/>
    <x v="0"/>
    <x v="1"/>
    <n v="0"/>
    <x v="0"/>
    <x v="1"/>
  </r>
  <r>
    <x v="15"/>
    <x v="0"/>
    <x v="8"/>
    <x v="2"/>
    <x v="15"/>
    <x v="2"/>
    <x v="1"/>
    <x v="14"/>
    <d v="2024-01-06T00:00:00"/>
    <n v="1"/>
    <x v="1"/>
    <x v="2"/>
    <n v="1"/>
    <x v="1"/>
    <x v="2"/>
  </r>
  <r>
    <x v="16"/>
    <x v="0"/>
    <x v="7"/>
    <x v="3"/>
    <x v="16"/>
    <x v="0"/>
    <x v="0"/>
    <x v="15"/>
    <d v="2024-03-10T00:00:00"/>
    <n v="0"/>
    <x v="0"/>
    <x v="5"/>
    <n v="0"/>
    <x v="0"/>
    <x v="5"/>
  </r>
  <r>
    <x v="17"/>
    <x v="1"/>
    <x v="10"/>
    <x v="3"/>
    <x v="17"/>
    <x v="2"/>
    <x v="0"/>
    <x v="16"/>
    <d v="2024-04-23T00:00:00"/>
    <n v="0"/>
    <x v="0"/>
    <x v="3"/>
    <n v="0"/>
    <x v="0"/>
    <x v="3"/>
  </r>
  <r>
    <x v="18"/>
    <x v="0"/>
    <x v="0"/>
    <x v="5"/>
    <x v="18"/>
    <x v="0"/>
    <x v="3"/>
    <x v="14"/>
    <d v="2024-01-05T00:00:00"/>
    <n v="0"/>
    <x v="0"/>
    <x v="2"/>
    <n v="0"/>
    <x v="0"/>
    <x v="2"/>
  </r>
  <r>
    <x v="19"/>
    <x v="0"/>
    <x v="7"/>
    <x v="3"/>
    <x v="19"/>
    <x v="0"/>
    <x v="3"/>
    <x v="17"/>
    <d v="2024-02-04T00:00:00"/>
    <n v="0"/>
    <x v="0"/>
    <x v="0"/>
    <n v="0"/>
    <x v="0"/>
    <x v="0"/>
  </r>
  <r>
    <x v="20"/>
    <x v="2"/>
    <x v="5"/>
    <x v="3"/>
    <x v="20"/>
    <x v="2"/>
    <x v="0"/>
    <x v="18"/>
    <d v="2024-02-07T00:00:00"/>
    <n v="0"/>
    <x v="0"/>
    <x v="0"/>
    <n v="0"/>
    <x v="0"/>
    <x v="0"/>
  </r>
  <r>
    <x v="21"/>
    <x v="3"/>
    <x v="3"/>
    <x v="6"/>
    <x v="21"/>
    <x v="2"/>
    <x v="0"/>
    <x v="19"/>
    <d v="2024-01-10T00:00:00"/>
    <n v="0"/>
    <x v="0"/>
    <x v="2"/>
    <n v="0"/>
    <x v="0"/>
    <x v="2"/>
  </r>
  <r>
    <x v="22"/>
    <x v="3"/>
    <x v="9"/>
    <x v="3"/>
    <x v="22"/>
    <x v="1"/>
    <x v="5"/>
    <x v="20"/>
    <d v="2024-05-02T00:00:00"/>
    <n v="1"/>
    <x v="1"/>
    <x v="4"/>
    <n v="1"/>
    <x v="1"/>
    <x v="4"/>
  </r>
  <r>
    <x v="23"/>
    <x v="0"/>
    <x v="0"/>
    <x v="0"/>
    <x v="23"/>
    <x v="0"/>
    <x v="2"/>
    <x v="21"/>
    <d v="2024-03-26T00:00:00"/>
    <n v="0"/>
    <x v="0"/>
    <x v="5"/>
    <n v="0"/>
    <x v="0"/>
    <x v="5"/>
  </r>
  <r>
    <x v="24"/>
    <x v="1"/>
    <x v="11"/>
    <x v="4"/>
    <x v="24"/>
    <x v="1"/>
    <x v="1"/>
    <x v="22"/>
    <d v="2024-01-31T00:00:00"/>
    <n v="0"/>
    <x v="0"/>
    <x v="2"/>
    <n v="0"/>
    <x v="0"/>
    <x v="2"/>
  </r>
  <r>
    <x v="25"/>
    <x v="4"/>
    <x v="12"/>
    <x v="1"/>
    <x v="25"/>
    <x v="2"/>
    <x v="5"/>
    <x v="23"/>
    <d v="2024-04-10T00:00:00"/>
    <n v="0"/>
    <x v="0"/>
    <x v="3"/>
    <n v="0"/>
    <x v="0"/>
    <x v="3"/>
  </r>
  <r>
    <x v="26"/>
    <x v="4"/>
    <x v="13"/>
    <x v="1"/>
    <x v="26"/>
    <x v="1"/>
    <x v="2"/>
    <x v="24"/>
    <d v="2024-01-25T00:00:00"/>
    <n v="1"/>
    <x v="1"/>
    <x v="2"/>
    <n v="1"/>
    <x v="1"/>
    <x v="2"/>
  </r>
  <r>
    <x v="27"/>
    <x v="1"/>
    <x v="1"/>
    <x v="1"/>
    <x v="27"/>
    <x v="0"/>
    <x v="3"/>
    <x v="19"/>
    <d v="2024-01-10T00:00:00"/>
    <n v="0"/>
    <x v="0"/>
    <x v="2"/>
    <n v="0"/>
    <x v="0"/>
    <x v="2"/>
  </r>
  <r>
    <x v="28"/>
    <x v="1"/>
    <x v="10"/>
    <x v="2"/>
    <x v="28"/>
    <x v="2"/>
    <x v="4"/>
    <x v="6"/>
    <d v="2024-01-23T00:00:00"/>
    <n v="0"/>
    <x v="0"/>
    <x v="2"/>
    <n v="0"/>
    <x v="0"/>
    <x v="2"/>
  </r>
  <r>
    <x v="29"/>
    <x v="0"/>
    <x v="0"/>
    <x v="3"/>
    <x v="29"/>
    <x v="0"/>
    <x v="1"/>
    <x v="22"/>
    <d v="2024-01-31T00:00:00"/>
    <n v="0"/>
    <x v="0"/>
    <x v="2"/>
    <n v="0"/>
    <x v="0"/>
    <x v="2"/>
  </r>
  <r>
    <x v="30"/>
    <x v="2"/>
    <x v="5"/>
    <x v="3"/>
    <x v="30"/>
    <x v="2"/>
    <x v="2"/>
    <x v="25"/>
    <d v="2024-05-19T00:00:00"/>
    <n v="1"/>
    <x v="1"/>
    <x v="4"/>
    <n v="1"/>
    <x v="1"/>
    <x v="4"/>
  </r>
  <r>
    <x v="31"/>
    <x v="0"/>
    <x v="0"/>
    <x v="5"/>
    <x v="31"/>
    <x v="1"/>
    <x v="1"/>
    <x v="26"/>
    <d v="2024-02-08T00:00:00"/>
    <n v="0"/>
    <x v="0"/>
    <x v="0"/>
    <n v="0"/>
    <x v="0"/>
    <x v="0"/>
  </r>
  <r>
    <x v="32"/>
    <x v="0"/>
    <x v="8"/>
    <x v="4"/>
    <x v="32"/>
    <x v="1"/>
    <x v="3"/>
    <x v="4"/>
    <d v="2024-01-13T00:00:00"/>
    <n v="0"/>
    <x v="0"/>
    <x v="2"/>
    <n v="0"/>
    <x v="0"/>
    <x v="2"/>
  </r>
  <r>
    <x v="33"/>
    <x v="3"/>
    <x v="3"/>
    <x v="0"/>
    <x v="33"/>
    <x v="1"/>
    <x v="3"/>
    <x v="27"/>
    <d v="2024-04-26T00:00:00"/>
    <n v="1"/>
    <x v="1"/>
    <x v="3"/>
    <n v="1"/>
    <x v="1"/>
    <x v="3"/>
  </r>
  <r>
    <x v="34"/>
    <x v="0"/>
    <x v="7"/>
    <x v="5"/>
    <x v="34"/>
    <x v="2"/>
    <x v="1"/>
    <x v="28"/>
    <d v="2024-01-28T00:00:00"/>
    <n v="0"/>
    <x v="0"/>
    <x v="2"/>
    <n v="0"/>
    <x v="0"/>
    <x v="2"/>
  </r>
  <r>
    <x v="35"/>
    <x v="3"/>
    <x v="9"/>
    <x v="6"/>
    <x v="35"/>
    <x v="0"/>
    <x v="4"/>
    <x v="29"/>
    <d v="2024-03-07T00:00:00"/>
    <n v="0"/>
    <x v="0"/>
    <x v="5"/>
    <n v="0"/>
    <x v="0"/>
    <x v="5"/>
  </r>
  <r>
    <x v="36"/>
    <x v="0"/>
    <x v="0"/>
    <x v="3"/>
    <x v="36"/>
    <x v="2"/>
    <x v="3"/>
    <x v="30"/>
    <d v="2024-06-06T00:00:00"/>
    <n v="0"/>
    <x v="0"/>
    <x v="1"/>
    <n v="0"/>
    <x v="0"/>
    <x v="1"/>
  </r>
  <r>
    <x v="37"/>
    <x v="1"/>
    <x v="10"/>
    <x v="0"/>
    <x v="37"/>
    <x v="0"/>
    <x v="2"/>
    <x v="31"/>
    <d v="2024-05-02T00:00:00"/>
    <n v="0"/>
    <x v="0"/>
    <x v="4"/>
    <n v="0"/>
    <x v="0"/>
    <x v="4"/>
  </r>
  <r>
    <x v="38"/>
    <x v="1"/>
    <x v="10"/>
    <x v="1"/>
    <x v="38"/>
    <x v="2"/>
    <x v="1"/>
    <x v="17"/>
    <d v="2024-02-04T00:00:00"/>
    <n v="0"/>
    <x v="0"/>
    <x v="0"/>
    <n v="0"/>
    <x v="0"/>
    <x v="0"/>
  </r>
  <r>
    <x v="39"/>
    <x v="0"/>
    <x v="7"/>
    <x v="4"/>
    <x v="39"/>
    <x v="0"/>
    <x v="0"/>
    <x v="32"/>
    <d v="2024-02-23T00:00:00"/>
    <n v="0"/>
    <x v="0"/>
    <x v="0"/>
    <n v="0"/>
    <x v="0"/>
    <x v="0"/>
  </r>
  <r>
    <x v="40"/>
    <x v="4"/>
    <x v="13"/>
    <x v="2"/>
    <x v="40"/>
    <x v="2"/>
    <x v="1"/>
    <x v="33"/>
    <d v="2024-03-09T00:00:00"/>
    <n v="1"/>
    <x v="1"/>
    <x v="5"/>
    <n v="1"/>
    <x v="1"/>
    <x v="5"/>
  </r>
  <r>
    <x v="41"/>
    <x v="4"/>
    <x v="13"/>
    <x v="3"/>
    <x v="41"/>
    <x v="1"/>
    <x v="1"/>
    <x v="34"/>
    <d v="2024-04-15T00:00:00"/>
    <n v="0"/>
    <x v="0"/>
    <x v="3"/>
    <n v="0"/>
    <x v="0"/>
    <x v="3"/>
  </r>
  <r>
    <x v="42"/>
    <x v="0"/>
    <x v="0"/>
    <x v="2"/>
    <x v="42"/>
    <x v="2"/>
    <x v="0"/>
    <x v="35"/>
    <d v="2024-04-12T00:00:00"/>
    <n v="0"/>
    <x v="0"/>
    <x v="3"/>
    <n v="0"/>
    <x v="0"/>
    <x v="3"/>
  </r>
  <r>
    <x v="43"/>
    <x v="1"/>
    <x v="1"/>
    <x v="3"/>
    <x v="43"/>
    <x v="1"/>
    <x v="4"/>
    <x v="36"/>
    <d v="2024-05-23T00:00:00"/>
    <n v="1"/>
    <x v="1"/>
    <x v="4"/>
    <n v="1"/>
    <x v="1"/>
    <x v="4"/>
  </r>
  <r>
    <x v="44"/>
    <x v="2"/>
    <x v="2"/>
    <x v="2"/>
    <x v="44"/>
    <x v="2"/>
    <x v="3"/>
    <x v="37"/>
    <d v="2024-01-30T00:00:00"/>
    <n v="0"/>
    <x v="0"/>
    <x v="2"/>
    <n v="0"/>
    <x v="0"/>
    <x v="2"/>
  </r>
  <r>
    <x v="45"/>
    <x v="2"/>
    <x v="2"/>
    <x v="1"/>
    <x v="45"/>
    <x v="2"/>
    <x v="1"/>
    <x v="38"/>
    <d v="2024-05-07T00:00:00"/>
    <n v="1"/>
    <x v="1"/>
    <x v="4"/>
    <n v="1"/>
    <x v="1"/>
    <x v="4"/>
  </r>
  <r>
    <x v="46"/>
    <x v="0"/>
    <x v="0"/>
    <x v="3"/>
    <x v="46"/>
    <x v="0"/>
    <x v="0"/>
    <x v="39"/>
    <d v="2024-05-27T00:00:00"/>
    <n v="0"/>
    <x v="0"/>
    <x v="4"/>
    <n v="0"/>
    <x v="0"/>
    <x v="4"/>
  </r>
  <r>
    <x v="47"/>
    <x v="0"/>
    <x v="0"/>
    <x v="3"/>
    <x v="47"/>
    <x v="2"/>
    <x v="4"/>
    <x v="40"/>
    <d v="2024-03-21T00:00:00"/>
    <n v="0"/>
    <x v="0"/>
    <x v="5"/>
    <n v="0"/>
    <x v="0"/>
    <x v="5"/>
  </r>
  <r>
    <x v="48"/>
    <x v="4"/>
    <x v="12"/>
    <x v="5"/>
    <x v="48"/>
    <x v="2"/>
    <x v="2"/>
    <x v="41"/>
    <d v="2024-06-27T00:00:00"/>
    <n v="0"/>
    <x v="0"/>
    <x v="1"/>
    <n v="0"/>
    <x v="0"/>
    <x v="1"/>
  </r>
  <r>
    <x v="49"/>
    <x v="4"/>
    <x v="4"/>
    <x v="2"/>
    <x v="49"/>
    <x v="2"/>
    <x v="2"/>
    <x v="42"/>
    <d v="2024-04-08T00:00:00"/>
    <n v="0"/>
    <x v="0"/>
    <x v="3"/>
    <n v="0"/>
    <x v="0"/>
    <x v="3"/>
  </r>
  <r>
    <x v="50"/>
    <x v="4"/>
    <x v="13"/>
    <x v="7"/>
    <x v="50"/>
    <x v="2"/>
    <x v="0"/>
    <x v="43"/>
    <d v="2024-01-01T00:00:00"/>
    <n v="0"/>
    <x v="0"/>
    <x v="2"/>
    <n v="0"/>
    <x v="0"/>
    <x v="2"/>
  </r>
  <r>
    <x v="51"/>
    <x v="0"/>
    <x v="0"/>
    <x v="6"/>
    <x v="51"/>
    <x v="0"/>
    <x v="4"/>
    <x v="13"/>
    <d v="2024-06-09T00:00:00"/>
    <n v="0"/>
    <x v="0"/>
    <x v="1"/>
    <n v="0"/>
    <x v="0"/>
    <x v="1"/>
  </r>
  <r>
    <x v="52"/>
    <x v="2"/>
    <x v="14"/>
    <x v="1"/>
    <x v="52"/>
    <x v="0"/>
    <x v="3"/>
    <x v="44"/>
    <d v="2024-05-11T00:00:00"/>
    <n v="0"/>
    <x v="0"/>
    <x v="4"/>
    <n v="0"/>
    <x v="0"/>
    <x v="4"/>
  </r>
  <r>
    <x v="53"/>
    <x v="0"/>
    <x v="0"/>
    <x v="2"/>
    <x v="53"/>
    <x v="0"/>
    <x v="0"/>
    <x v="16"/>
    <d v="2024-04-23T00:00:00"/>
    <n v="0"/>
    <x v="0"/>
    <x v="3"/>
    <n v="0"/>
    <x v="0"/>
    <x v="3"/>
  </r>
  <r>
    <x v="54"/>
    <x v="1"/>
    <x v="10"/>
    <x v="3"/>
    <x v="54"/>
    <x v="2"/>
    <x v="2"/>
    <x v="44"/>
    <d v="2024-05-11T00:00:00"/>
    <n v="0"/>
    <x v="0"/>
    <x v="4"/>
    <n v="0"/>
    <x v="0"/>
    <x v="4"/>
  </r>
  <r>
    <x v="55"/>
    <x v="3"/>
    <x v="9"/>
    <x v="5"/>
    <x v="55"/>
    <x v="0"/>
    <x v="5"/>
    <x v="4"/>
    <d v="2024-01-14T00:00:00"/>
    <n v="1"/>
    <x v="1"/>
    <x v="2"/>
    <n v="1"/>
    <x v="1"/>
    <x v="2"/>
  </r>
  <r>
    <x v="56"/>
    <x v="3"/>
    <x v="9"/>
    <x v="4"/>
    <x v="56"/>
    <x v="1"/>
    <x v="4"/>
    <x v="45"/>
    <d v="2024-05-19T00:00:00"/>
    <n v="0"/>
    <x v="0"/>
    <x v="4"/>
    <n v="0"/>
    <x v="0"/>
    <x v="4"/>
  </r>
  <r>
    <x v="57"/>
    <x v="0"/>
    <x v="7"/>
    <x v="6"/>
    <x v="57"/>
    <x v="0"/>
    <x v="4"/>
    <x v="46"/>
    <d v="2024-04-14T00:00:00"/>
    <n v="0"/>
    <x v="0"/>
    <x v="3"/>
    <n v="0"/>
    <x v="0"/>
    <x v="3"/>
  </r>
  <r>
    <x v="58"/>
    <x v="3"/>
    <x v="6"/>
    <x v="3"/>
    <x v="58"/>
    <x v="1"/>
    <x v="5"/>
    <x v="47"/>
    <d v="2024-04-08T00:00:00"/>
    <n v="1"/>
    <x v="1"/>
    <x v="3"/>
    <n v="1"/>
    <x v="1"/>
    <x v="3"/>
  </r>
  <r>
    <x v="59"/>
    <x v="1"/>
    <x v="10"/>
    <x v="1"/>
    <x v="59"/>
    <x v="2"/>
    <x v="4"/>
    <x v="48"/>
    <d v="2024-05-04T00:00:00"/>
    <n v="0"/>
    <x v="0"/>
    <x v="4"/>
    <n v="0"/>
    <x v="0"/>
    <x v="4"/>
  </r>
  <r>
    <x v="60"/>
    <x v="0"/>
    <x v="0"/>
    <x v="3"/>
    <x v="60"/>
    <x v="0"/>
    <x v="4"/>
    <x v="0"/>
    <d v="2024-02-21T00:00:00"/>
    <n v="1"/>
    <x v="1"/>
    <x v="0"/>
    <n v="1"/>
    <x v="1"/>
    <x v="0"/>
  </r>
  <r>
    <x v="61"/>
    <x v="2"/>
    <x v="5"/>
    <x v="3"/>
    <x v="61"/>
    <x v="2"/>
    <x v="2"/>
    <x v="25"/>
    <d v="2024-05-18T00:00:00"/>
    <n v="0"/>
    <x v="0"/>
    <x v="4"/>
    <n v="0"/>
    <x v="0"/>
    <x v="4"/>
  </r>
  <r>
    <x v="62"/>
    <x v="0"/>
    <x v="7"/>
    <x v="5"/>
    <x v="62"/>
    <x v="1"/>
    <x v="5"/>
    <x v="42"/>
    <d v="2024-04-08T00:00:00"/>
    <n v="0"/>
    <x v="0"/>
    <x v="3"/>
    <n v="0"/>
    <x v="0"/>
    <x v="3"/>
  </r>
  <r>
    <x v="63"/>
    <x v="0"/>
    <x v="8"/>
    <x v="1"/>
    <x v="63"/>
    <x v="1"/>
    <x v="4"/>
    <x v="49"/>
    <d v="2024-03-01T00:00:00"/>
    <n v="0"/>
    <x v="0"/>
    <x v="5"/>
    <n v="0"/>
    <x v="0"/>
    <x v="5"/>
  </r>
  <r>
    <x v="64"/>
    <x v="2"/>
    <x v="5"/>
    <x v="3"/>
    <x v="64"/>
    <x v="2"/>
    <x v="0"/>
    <x v="50"/>
    <d v="2024-05-09T00:00:00"/>
    <n v="0"/>
    <x v="0"/>
    <x v="4"/>
    <n v="0"/>
    <x v="0"/>
    <x v="4"/>
  </r>
  <r>
    <x v="65"/>
    <x v="2"/>
    <x v="14"/>
    <x v="2"/>
    <x v="65"/>
    <x v="2"/>
    <x v="0"/>
    <x v="51"/>
    <d v="2024-01-18T00:00:00"/>
    <n v="0"/>
    <x v="0"/>
    <x v="2"/>
    <n v="0"/>
    <x v="0"/>
    <x v="2"/>
  </r>
  <r>
    <x v="66"/>
    <x v="0"/>
    <x v="7"/>
    <x v="4"/>
    <x v="66"/>
    <x v="0"/>
    <x v="0"/>
    <x v="39"/>
    <d v="2024-05-27T00:00:00"/>
    <n v="0"/>
    <x v="0"/>
    <x v="4"/>
    <n v="0"/>
    <x v="0"/>
    <x v="4"/>
  </r>
  <r>
    <x v="67"/>
    <x v="2"/>
    <x v="2"/>
    <x v="1"/>
    <x v="67"/>
    <x v="1"/>
    <x v="1"/>
    <x v="52"/>
    <d v="2024-04-24T00:00:00"/>
    <n v="0"/>
    <x v="0"/>
    <x v="3"/>
    <n v="0"/>
    <x v="0"/>
    <x v="3"/>
  </r>
  <r>
    <x v="68"/>
    <x v="0"/>
    <x v="0"/>
    <x v="4"/>
    <x v="68"/>
    <x v="1"/>
    <x v="2"/>
    <x v="53"/>
    <d v="2024-01-03T00:00:00"/>
    <n v="0"/>
    <x v="0"/>
    <x v="2"/>
    <n v="0"/>
    <x v="0"/>
    <x v="2"/>
  </r>
  <r>
    <x v="69"/>
    <x v="2"/>
    <x v="14"/>
    <x v="0"/>
    <x v="69"/>
    <x v="0"/>
    <x v="3"/>
    <x v="54"/>
    <d v="2024-04-26T00:00:00"/>
    <n v="0"/>
    <x v="0"/>
    <x v="3"/>
    <n v="0"/>
    <x v="0"/>
    <x v="3"/>
  </r>
  <r>
    <x v="70"/>
    <x v="1"/>
    <x v="11"/>
    <x v="1"/>
    <x v="70"/>
    <x v="2"/>
    <x v="1"/>
    <x v="32"/>
    <d v="2024-02-23T00:00:00"/>
    <n v="0"/>
    <x v="0"/>
    <x v="0"/>
    <n v="0"/>
    <x v="0"/>
    <x v="0"/>
  </r>
  <r>
    <x v="71"/>
    <x v="2"/>
    <x v="14"/>
    <x v="1"/>
    <x v="71"/>
    <x v="0"/>
    <x v="2"/>
    <x v="34"/>
    <d v="2024-04-15T00:00:00"/>
    <n v="0"/>
    <x v="0"/>
    <x v="3"/>
    <n v="0"/>
    <x v="0"/>
    <x v="3"/>
  </r>
  <r>
    <x v="72"/>
    <x v="1"/>
    <x v="10"/>
    <x v="6"/>
    <x v="72"/>
    <x v="0"/>
    <x v="3"/>
    <x v="55"/>
    <d v="2024-04-04T00:00:00"/>
    <n v="0"/>
    <x v="0"/>
    <x v="3"/>
    <n v="0"/>
    <x v="0"/>
    <x v="3"/>
  </r>
  <r>
    <x v="73"/>
    <x v="1"/>
    <x v="11"/>
    <x v="0"/>
    <x v="73"/>
    <x v="1"/>
    <x v="3"/>
    <x v="10"/>
    <d v="2024-05-25T00:00:00"/>
    <n v="0"/>
    <x v="0"/>
    <x v="4"/>
    <n v="0"/>
    <x v="0"/>
    <x v="4"/>
  </r>
  <r>
    <x v="74"/>
    <x v="1"/>
    <x v="11"/>
    <x v="1"/>
    <x v="74"/>
    <x v="1"/>
    <x v="3"/>
    <x v="56"/>
    <d v="2024-04-06T00:00:00"/>
    <n v="0"/>
    <x v="0"/>
    <x v="3"/>
    <n v="0"/>
    <x v="0"/>
    <x v="3"/>
  </r>
  <r>
    <x v="75"/>
    <x v="0"/>
    <x v="7"/>
    <x v="6"/>
    <x v="75"/>
    <x v="1"/>
    <x v="1"/>
    <x v="57"/>
    <d v="2024-03-20T00:00:00"/>
    <n v="0"/>
    <x v="0"/>
    <x v="5"/>
    <n v="0"/>
    <x v="0"/>
    <x v="5"/>
  </r>
  <r>
    <x v="76"/>
    <x v="1"/>
    <x v="10"/>
    <x v="1"/>
    <x v="76"/>
    <x v="1"/>
    <x v="2"/>
    <x v="58"/>
    <d v="2024-03-09T00:00:00"/>
    <n v="0"/>
    <x v="0"/>
    <x v="5"/>
    <n v="0"/>
    <x v="0"/>
    <x v="5"/>
  </r>
  <r>
    <x v="77"/>
    <x v="0"/>
    <x v="8"/>
    <x v="2"/>
    <x v="77"/>
    <x v="0"/>
    <x v="3"/>
    <x v="36"/>
    <d v="2024-05-22T00:00:00"/>
    <n v="0"/>
    <x v="0"/>
    <x v="4"/>
    <n v="0"/>
    <x v="0"/>
    <x v="4"/>
  </r>
  <r>
    <x v="78"/>
    <x v="2"/>
    <x v="2"/>
    <x v="6"/>
    <x v="78"/>
    <x v="0"/>
    <x v="2"/>
    <x v="48"/>
    <d v="2024-05-04T00:00:00"/>
    <n v="0"/>
    <x v="0"/>
    <x v="4"/>
    <n v="0"/>
    <x v="0"/>
    <x v="4"/>
  </r>
  <r>
    <x v="79"/>
    <x v="4"/>
    <x v="12"/>
    <x v="6"/>
    <x v="79"/>
    <x v="2"/>
    <x v="4"/>
    <x v="59"/>
    <d v="2024-02-14T00:00:00"/>
    <n v="0"/>
    <x v="0"/>
    <x v="0"/>
    <n v="0"/>
    <x v="0"/>
    <x v="0"/>
  </r>
  <r>
    <x v="80"/>
    <x v="2"/>
    <x v="14"/>
    <x v="4"/>
    <x v="80"/>
    <x v="0"/>
    <x v="3"/>
    <x v="60"/>
    <d v="2024-03-05T00:00:00"/>
    <n v="0"/>
    <x v="0"/>
    <x v="5"/>
    <n v="0"/>
    <x v="0"/>
    <x v="5"/>
  </r>
  <r>
    <x v="81"/>
    <x v="0"/>
    <x v="0"/>
    <x v="3"/>
    <x v="81"/>
    <x v="0"/>
    <x v="2"/>
    <x v="61"/>
    <d v="2024-04-27T00:00:00"/>
    <n v="0"/>
    <x v="0"/>
    <x v="3"/>
    <n v="0"/>
    <x v="0"/>
    <x v="3"/>
  </r>
  <r>
    <x v="82"/>
    <x v="3"/>
    <x v="3"/>
    <x v="7"/>
    <x v="82"/>
    <x v="2"/>
    <x v="0"/>
    <x v="46"/>
    <d v="2024-04-14T00:00:00"/>
    <n v="0"/>
    <x v="0"/>
    <x v="3"/>
    <n v="0"/>
    <x v="0"/>
    <x v="3"/>
  </r>
  <r>
    <x v="83"/>
    <x v="3"/>
    <x v="3"/>
    <x v="5"/>
    <x v="83"/>
    <x v="0"/>
    <x v="4"/>
    <x v="62"/>
    <d v="2024-02-17T00:00:00"/>
    <n v="0"/>
    <x v="0"/>
    <x v="0"/>
    <n v="0"/>
    <x v="0"/>
    <x v="0"/>
  </r>
  <r>
    <x v="84"/>
    <x v="2"/>
    <x v="5"/>
    <x v="4"/>
    <x v="84"/>
    <x v="0"/>
    <x v="2"/>
    <x v="21"/>
    <d v="2024-03-26T00:00:00"/>
    <n v="0"/>
    <x v="0"/>
    <x v="5"/>
    <n v="0"/>
    <x v="0"/>
    <x v="5"/>
  </r>
  <r>
    <x v="85"/>
    <x v="0"/>
    <x v="8"/>
    <x v="3"/>
    <x v="85"/>
    <x v="1"/>
    <x v="0"/>
    <x v="63"/>
    <d v="2024-05-26T00:00:00"/>
    <n v="0"/>
    <x v="0"/>
    <x v="4"/>
    <n v="0"/>
    <x v="0"/>
    <x v="4"/>
  </r>
  <r>
    <x v="86"/>
    <x v="2"/>
    <x v="14"/>
    <x v="3"/>
    <x v="86"/>
    <x v="1"/>
    <x v="1"/>
    <x v="61"/>
    <d v="2024-04-27T00:00:00"/>
    <n v="0"/>
    <x v="0"/>
    <x v="3"/>
    <n v="0"/>
    <x v="0"/>
    <x v="3"/>
  </r>
  <r>
    <x v="87"/>
    <x v="3"/>
    <x v="9"/>
    <x v="7"/>
    <x v="87"/>
    <x v="2"/>
    <x v="4"/>
    <x v="50"/>
    <d v="2024-05-09T00:00:00"/>
    <n v="0"/>
    <x v="0"/>
    <x v="4"/>
    <n v="0"/>
    <x v="0"/>
    <x v="4"/>
  </r>
  <r>
    <x v="88"/>
    <x v="0"/>
    <x v="0"/>
    <x v="1"/>
    <x v="88"/>
    <x v="1"/>
    <x v="3"/>
    <x v="29"/>
    <d v="2024-03-08T00:00:00"/>
    <n v="1"/>
    <x v="1"/>
    <x v="5"/>
    <n v="1"/>
    <x v="1"/>
    <x v="5"/>
  </r>
  <r>
    <x v="89"/>
    <x v="0"/>
    <x v="8"/>
    <x v="6"/>
    <x v="89"/>
    <x v="0"/>
    <x v="3"/>
    <x v="64"/>
    <d v="2024-04-19T00:00:00"/>
    <n v="0"/>
    <x v="0"/>
    <x v="3"/>
    <n v="0"/>
    <x v="0"/>
    <x v="3"/>
  </r>
  <r>
    <x v="90"/>
    <x v="4"/>
    <x v="4"/>
    <x v="7"/>
    <x v="90"/>
    <x v="1"/>
    <x v="5"/>
    <x v="65"/>
    <d v="2024-01-29T00:00:00"/>
    <n v="0"/>
    <x v="0"/>
    <x v="2"/>
    <n v="0"/>
    <x v="0"/>
    <x v="2"/>
  </r>
  <r>
    <x v="91"/>
    <x v="0"/>
    <x v="0"/>
    <x v="4"/>
    <x v="91"/>
    <x v="1"/>
    <x v="4"/>
    <x v="66"/>
    <d v="2024-03-15T00:00:00"/>
    <n v="0"/>
    <x v="0"/>
    <x v="5"/>
    <n v="0"/>
    <x v="0"/>
    <x v="5"/>
  </r>
  <r>
    <x v="92"/>
    <x v="2"/>
    <x v="14"/>
    <x v="3"/>
    <x v="92"/>
    <x v="2"/>
    <x v="5"/>
    <x v="40"/>
    <d v="2024-03-21T00:00:00"/>
    <n v="0"/>
    <x v="0"/>
    <x v="5"/>
    <n v="0"/>
    <x v="0"/>
    <x v="5"/>
  </r>
  <r>
    <x v="93"/>
    <x v="1"/>
    <x v="1"/>
    <x v="6"/>
    <x v="93"/>
    <x v="2"/>
    <x v="1"/>
    <x v="31"/>
    <d v="2024-05-02T00:00:00"/>
    <n v="0"/>
    <x v="0"/>
    <x v="4"/>
    <n v="0"/>
    <x v="0"/>
    <x v="4"/>
  </r>
  <r>
    <x v="94"/>
    <x v="3"/>
    <x v="6"/>
    <x v="5"/>
    <x v="94"/>
    <x v="1"/>
    <x v="2"/>
    <x v="19"/>
    <d v="2024-01-10T00:00:00"/>
    <n v="0"/>
    <x v="0"/>
    <x v="2"/>
    <n v="0"/>
    <x v="0"/>
    <x v="2"/>
  </r>
  <r>
    <x v="95"/>
    <x v="0"/>
    <x v="0"/>
    <x v="1"/>
    <x v="95"/>
    <x v="0"/>
    <x v="0"/>
    <x v="67"/>
    <d v="2024-04-17T00:00:00"/>
    <n v="0"/>
    <x v="0"/>
    <x v="3"/>
    <n v="0"/>
    <x v="0"/>
    <x v="3"/>
  </r>
  <r>
    <x v="96"/>
    <x v="1"/>
    <x v="1"/>
    <x v="4"/>
    <x v="96"/>
    <x v="1"/>
    <x v="4"/>
    <x v="68"/>
    <d v="2024-03-22T00:00:00"/>
    <n v="0"/>
    <x v="0"/>
    <x v="5"/>
    <n v="0"/>
    <x v="0"/>
    <x v="5"/>
  </r>
  <r>
    <x v="97"/>
    <x v="2"/>
    <x v="2"/>
    <x v="6"/>
    <x v="97"/>
    <x v="2"/>
    <x v="0"/>
    <x v="60"/>
    <d v="2024-03-05T00:00:00"/>
    <n v="0"/>
    <x v="0"/>
    <x v="5"/>
    <n v="0"/>
    <x v="0"/>
    <x v="5"/>
  </r>
  <r>
    <x v="98"/>
    <x v="1"/>
    <x v="11"/>
    <x v="4"/>
    <x v="98"/>
    <x v="1"/>
    <x v="2"/>
    <x v="37"/>
    <d v="2024-01-30T00:00:00"/>
    <n v="0"/>
    <x v="0"/>
    <x v="2"/>
    <n v="0"/>
    <x v="0"/>
    <x v="2"/>
  </r>
  <r>
    <x v="99"/>
    <x v="4"/>
    <x v="12"/>
    <x v="3"/>
    <x v="99"/>
    <x v="2"/>
    <x v="5"/>
    <x v="69"/>
    <d v="2024-01-12T00:00:00"/>
    <n v="0"/>
    <x v="0"/>
    <x v="2"/>
    <n v="0"/>
    <x v="0"/>
    <x v="2"/>
  </r>
  <r>
    <x v="100"/>
    <x v="4"/>
    <x v="13"/>
    <x v="6"/>
    <x v="100"/>
    <x v="1"/>
    <x v="4"/>
    <x v="70"/>
    <d v="2024-05-21T00:00:00"/>
    <n v="0"/>
    <x v="0"/>
    <x v="4"/>
    <n v="0"/>
    <x v="0"/>
    <x v="4"/>
  </r>
  <r>
    <x v="101"/>
    <x v="2"/>
    <x v="5"/>
    <x v="6"/>
    <x v="101"/>
    <x v="2"/>
    <x v="1"/>
    <x v="71"/>
    <d v="2024-05-03T00:00:00"/>
    <n v="0"/>
    <x v="0"/>
    <x v="4"/>
    <n v="0"/>
    <x v="0"/>
    <x v="4"/>
  </r>
  <r>
    <x v="102"/>
    <x v="4"/>
    <x v="13"/>
    <x v="2"/>
    <x v="102"/>
    <x v="2"/>
    <x v="5"/>
    <x v="50"/>
    <d v="2024-05-09T00:00:00"/>
    <n v="0"/>
    <x v="0"/>
    <x v="4"/>
    <n v="0"/>
    <x v="0"/>
    <x v="4"/>
  </r>
  <r>
    <x v="103"/>
    <x v="4"/>
    <x v="4"/>
    <x v="7"/>
    <x v="103"/>
    <x v="1"/>
    <x v="5"/>
    <x v="25"/>
    <d v="2024-05-18T00:00:00"/>
    <n v="0"/>
    <x v="0"/>
    <x v="4"/>
    <n v="0"/>
    <x v="0"/>
    <x v="4"/>
  </r>
  <r>
    <x v="104"/>
    <x v="2"/>
    <x v="5"/>
    <x v="7"/>
    <x v="104"/>
    <x v="0"/>
    <x v="3"/>
    <x v="72"/>
    <d v="2024-04-30T00:00:00"/>
    <n v="0"/>
    <x v="0"/>
    <x v="3"/>
    <n v="0"/>
    <x v="0"/>
    <x v="3"/>
  </r>
  <r>
    <x v="105"/>
    <x v="4"/>
    <x v="13"/>
    <x v="3"/>
    <x v="105"/>
    <x v="1"/>
    <x v="2"/>
    <x v="73"/>
    <d v="2024-04-09T00:00:00"/>
    <n v="0"/>
    <x v="0"/>
    <x v="3"/>
    <n v="0"/>
    <x v="0"/>
    <x v="3"/>
  </r>
  <r>
    <x v="106"/>
    <x v="3"/>
    <x v="9"/>
    <x v="1"/>
    <x v="106"/>
    <x v="2"/>
    <x v="3"/>
    <x v="54"/>
    <d v="2024-04-26T00:00:00"/>
    <n v="0"/>
    <x v="0"/>
    <x v="3"/>
    <n v="0"/>
    <x v="0"/>
    <x v="3"/>
  </r>
  <r>
    <x v="107"/>
    <x v="2"/>
    <x v="5"/>
    <x v="2"/>
    <x v="107"/>
    <x v="2"/>
    <x v="1"/>
    <x v="60"/>
    <d v="2024-03-06T00:00:00"/>
    <n v="1"/>
    <x v="1"/>
    <x v="5"/>
    <n v="1"/>
    <x v="1"/>
    <x v="5"/>
  </r>
  <r>
    <x v="108"/>
    <x v="2"/>
    <x v="2"/>
    <x v="3"/>
    <x v="108"/>
    <x v="2"/>
    <x v="2"/>
    <x v="25"/>
    <d v="2024-05-18T00:00:00"/>
    <n v="0"/>
    <x v="0"/>
    <x v="4"/>
    <n v="0"/>
    <x v="0"/>
    <x v="4"/>
  </r>
  <r>
    <x v="109"/>
    <x v="0"/>
    <x v="0"/>
    <x v="5"/>
    <x v="109"/>
    <x v="0"/>
    <x v="5"/>
    <x v="58"/>
    <d v="2024-03-09T00:00:00"/>
    <n v="0"/>
    <x v="0"/>
    <x v="5"/>
    <n v="0"/>
    <x v="0"/>
    <x v="5"/>
  </r>
  <r>
    <x v="110"/>
    <x v="4"/>
    <x v="12"/>
    <x v="0"/>
    <x v="110"/>
    <x v="2"/>
    <x v="3"/>
    <x v="74"/>
    <d v="2024-01-27T00:00:00"/>
    <n v="0"/>
    <x v="0"/>
    <x v="2"/>
    <n v="0"/>
    <x v="0"/>
    <x v="2"/>
  </r>
  <r>
    <x v="111"/>
    <x v="2"/>
    <x v="14"/>
    <x v="3"/>
    <x v="111"/>
    <x v="1"/>
    <x v="4"/>
    <x v="75"/>
    <d v="2024-01-22T00:00:00"/>
    <n v="0"/>
    <x v="0"/>
    <x v="2"/>
    <n v="0"/>
    <x v="0"/>
    <x v="2"/>
  </r>
  <r>
    <x v="112"/>
    <x v="1"/>
    <x v="11"/>
    <x v="2"/>
    <x v="112"/>
    <x v="1"/>
    <x v="4"/>
    <x v="76"/>
    <d v="2024-03-27T00:00:00"/>
    <n v="0"/>
    <x v="0"/>
    <x v="5"/>
    <n v="0"/>
    <x v="0"/>
    <x v="5"/>
  </r>
  <r>
    <x v="113"/>
    <x v="3"/>
    <x v="3"/>
    <x v="3"/>
    <x v="113"/>
    <x v="0"/>
    <x v="1"/>
    <x v="77"/>
    <d v="2024-03-14T00:00:00"/>
    <n v="0"/>
    <x v="0"/>
    <x v="5"/>
    <n v="0"/>
    <x v="0"/>
    <x v="5"/>
  </r>
  <r>
    <x v="114"/>
    <x v="0"/>
    <x v="7"/>
    <x v="4"/>
    <x v="114"/>
    <x v="0"/>
    <x v="4"/>
    <x v="78"/>
    <d v="2024-04-11T00:00:00"/>
    <n v="0"/>
    <x v="0"/>
    <x v="3"/>
    <n v="0"/>
    <x v="0"/>
    <x v="3"/>
  </r>
  <r>
    <x v="115"/>
    <x v="2"/>
    <x v="2"/>
    <x v="4"/>
    <x v="115"/>
    <x v="1"/>
    <x v="1"/>
    <x v="79"/>
    <d v="2024-05-20T00:00:00"/>
    <n v="0"/>
    <x v="0"/>
    <x v="4"/>
    <n v="0"/>
    <x v="0"/>
    <x v="4"/>
  </r>
  <r>
    <x v="116"/>
    <x v="2"/>
    <x v="14"/>
    <x v="5"/>
    <x v="116"/>
    <x v="2"/>
    <x v="5"/>
    <x v="14"/>
    <d v="2024-01-05T00:00:00"/>
    <n v="0"/>
    <x v="0"/>
    <x v="2"/>
    <n v="0"/>
    <x v="0"/>
    <x v="2"/>
  </r>
  <r>
    <x v="117"/>
    <x v="1"/>
    <x v="10"/>
    <x v="7"/>
    <x v="117"/>
    <x v="2"/>
    <x v="5"/>
    <x v="55"/>
    <d v="2024-04-04T00:00:00"/>
    <n v="0"/>
    <x v="0"/>
    <x v="3"/>
    <n v="0"/>
    <x v="0"/>
    <x v="3"/>
  </r>
  <r>
    <x v="118"/>
    <x v="4"/>
    <x v="13"/>
    <x v="5"/>
    <x v="118"/>
    <x v="1"/>
    <x v="0"/>
    <x v="52"/>
    <d v="2024-04-24T00:00:00"/>
    <n v="0"/>
    <x v="0"/>
    <x v="3"/>
    <n v="0"/>
    <x v="0"/>
    <x v="3"/>
  </r>
  <r>
    <x v="119"/>
    <x v="1"/>
    <x v="1"/>
    <x v="4"/>
    <x v="119"/>
    <x v="0"/>
    <x v="5"/>
    <x v="5"/>
    <d v="2024-02-16T00:00:00"/>
    <n v="0"/>
    <x v="0"/>
    <x v="0"/>
    <n v="0"/>
    <x v="0"/>
    <x v="0"/>
  </r>
  <r>
    <x v="120"/>
    <x v="0"/>
    <x v="0"/>
    <x v="1"/>
    <x v="120"/>
    <x v="1"/>
    <x v="1"/>
    <x v="80"/>
    <d v="2024-04-21T00:00:00"/>
    <n v="0"/>
    <x v="0"/>
    <x v="3"/>
    <n v="0"/>
    <x v="0"/>
    <x v="3"/>
  </r>
  <r>
    <x v="121"/>
    <x v="1"/>
    <x v="10"/>
    <x v="1"/>
    <x v="121"/>
    <x v="1"/>
    <x v="3"/>
    <x v="81"/>
    <d v="2024-06-07T00:00:00"/>
    <n v="0"/>
    <x v="0"/>
    <x v="1"/>
    <n v="0"/>
    <x v="0"/>
    <x v="1"/>
  </r>
  <r>
    <x v="122"/>
    <x v="3"/>
    <x v="3"/>
    <x v="5"/>
    <x v="122"/>
    <x v="2"/>
    <x v="5"/>
    <x v="82"/>
    <d v="2024-01-08T00:00:00"/>
    <n v="0"/>
    <x v="0"/>
    <x v="2"/>
    <n v="0"/>
    <x v="0"/>
    <x v="2"/>
  </r>
  <r>
    <x v="123"/>
    <x v="3"/>
    <x v="6"/>
    <x v="7"/>
    <x v="123"/>
    <x v="0"/>
    <x v="5"/>
    <x v="79"/>
    <d v="2024-05-20T00:00:00"/>
    <n v="0"/>
    <x v="0"/>
    <x v="4"/>
    <n v="0"/>
    <x v="0"/>
    <x v="4"/>
  </r>
  <r>
    <x v="124"/>
    <x v="2"/>
    <x v="2"/>
    <x v="6"/>
    <x v="124"/>
    <x v="1"/>
    <x v="0"/>
    <x v="16"/>
    <d v="2024-04-23T00:00:00"/>
    <n v="0"/>
    <x v="0"/>
    <x v="3"/>
    <n v="0"/>
    <x v="0"/>
    <x v="3"/>
  </r>
  <r>
    <x v="125"/>
    <x v="4"/>
    <x v="4"/>
    <x v="0"/>
    <x v="125"/>
    <x v="1"/>
    <x v="3"/>
    <x v="26"/>
    <d v="2024-02-08T00:00:00"/>
    <n v="0"/>
    <x v="0"/>
    <x v="0"/>
    <n v="0"/>
    <x v="0"/>
    <x v="0"/>
  </r>
  <r>
    <x v="126"/>
    <x v="2"/>
    <x v="2"/>
    <x v="3"/>
    <x v="126"/>
    <x v="1"/>
    <x v="4"/>
    <x v="31"/>
    <d v="2024-05-02T00:00:00"/>
    <n v="0"/>
    <x v="0"/>
    <x v="4"/>
    <n v="0"/>
    <x v="0"/>
    <x v="4"/>
  </r>
  <r>
    <x v="127"/>
    <x v="0"/>
    <x v="7"/>
    <x v="6"/>
    <x v="127"/>
    <x v="2"/>
    <x v="3"/>
    <x v="67"/>
    <d v="2024-04-17T00:00:00"/>
    <n v="0"/>
    <x v="0"/>
    <x v="3"/>
    <n v="0"/>
    <x v="0"/>
    <x v="3"/>
  </r>
  <r>
    <x v="128"/>
    <x v="2"/>
    <x v="5"/>
    <x v="4"/>
    <x v="128"/>
    <x v="0"/>
    <x v="0"/>
    <x v="4"/>
    <d v="2024-01-13T00:00:00"/>
    <n v="0"/>
    <x v="0"/>
    <x v="2"/>
    <n v="0"/>
    <x v="0"/>
    <x v="2"/>
  </r>
  <r>
    <x v="129"/>
    <x v="1"/>
    <x v="1"/>
    <x v="3"/>
    <x v="129"/>
    <x v="0"/>
    <x v="2"/>
    <x v="83"/>
    <d v="2024-01-15T00:00:00"/>
    <n v="1"/>
    <x v="1"/>
    <x v="2"/>
    <n v="1"/>
    <x v="1"/>
    <x v="2"/>
  </r>
  <r>
    <x v="130"/>
    <x v="0"/>
    <x v="7"/>
    <x v="3"/>
    <x v="130"/>
    <x v="0"/>
    <x v="5"/>
    <x v="84"/>
    <d v="2024-02-15T00:00:00"/>
    <n v="0"/>
    <x v="0"/>
    <x v="0"/>
    <n v="0"/>
    <x v="0"/>
    <x v="0"/>
  </r>
  <r>
    <x v="131"/>
    <x v="2"/>
    <x v="14"/>
    <x v="0"/>
    <x v="131"/>
    <x v="1"/>
    <x v="2"/>
    <x v="85"/>
    <d v="2024-01-11T00:00:00"/>
    <n v="0"/>
    <x v="0"/>
    <x v="2"/>
    <n v="0"/>
    <x v="0"/>
    <x v="2"/>
  </r>
  <r>
    <x v="132"/>
    <x v="3"/>
    <x v="9"/>
    <x v="3"/>
    <x v="132"/>
    <x v="2"/>
    <x v="5"/>
    <x v="86"/>
    <d v="2024-03-30T00:00:00"/>
    <n v="0"/>
    <x v="0"/>
    <x v="5"/>
    <n v="0"/>
    <x v="0"/>
    <x v="5"/>
  </r>
  <r>
    <x v="133"/>
    <x v="0"/>
    <x v="0"/>
    <x v="7"/>
    <x v="133"/>
    <x v="0"/>
    <x v="4"/>
    <x v="87"/>
    <d v="2024-01-16T00:00:00"/>
    <n v="1"/>
    <x v="1"/>
    <x v="2"/>
    <n v="1"/>
    <x v="1"/>
    <x v="2"/>
  </r>
  <r>
    <x v="134"/>
    <x v="0"/>
    <x v="0"/>
    <x v="3"/>
    <x v="134"/>
    <x v="0"/>
    <x v="3"/>
    <x v="55"/>
    <d v="2024-04-04T00:00:00"/>
    <n v="0"/>
    <x v="0"/>
    <x v="3"/>
    <n v="0"/>
    <x v="0"/>
    <x v="3"/>
  </r>
  <r>
    <x v="135"/>
    <x v="0"/>
    <x v="0"/>
    <x v="2"/>
    <x v="135"/>
    <x v="1"/>
    <x v="0"/>
    <x v="88"/>
    <d v="2024-02-11T00:00:00"/>
    <n v="0"/>
    <x v="0"/>
    <x v="0"/>
    <n v="0"/>
    <x v="0"/>
    <x v="0"/>
  </r>
  <r>
    <x v="136"/>
    <x v="1"/>
    <x v="11"/>
    <x v="3"/>
    <x v="136"/>
    <x v="1"/>
    <x v="5"/>
    <x v="89"/>
    <d v="2024-03-02T00:00:00"/>
    <n v="0"/>
    <x v="0"/>
    <x v="5"/>
    <n v="0"/>
    <x v="0"/>
    <x v="5"/>
  </r>
  <r>
    <x v="137"/>
    <x v="4"/>
    <x v="13"/>
    <x v="3"/>
    <x v="137"/>
    <x v="1"/>
    <x v="5"/>
    <x v="90"/>
    <d v="2024-05-24T00:00:00"/>
    <n v="0"/>
    <x v="0"/>
    <x v="4"/>
    <n v="0"/>
    <x v="0"/>
    <x v="4"/>
  </r>
  <r>
    <x v="138"/>
    <x v="0"/>
    <x v="8"/>
    <x v="3"/>
    <x v="138"/>
    <x v="2"/>
    <x v="3"/>
    <x v="49"/>
    <d v="2024-03-01T00:00:00"/>
    <n v="0"/>
    <x v="0"/>
    <x v="5"/>
    <n v="0"/>
    <x v="0"/>
    <x v="5"/>
  </r>
  <r>
    <x v="139"/>
    <x v="1"/>
    <x v="10"/>
    <x v="7"/>
    <x v="139"/>
    <x v="0"/>
    <x v="5"/>
    <x v="62"/>
    <d v="2024-02-17T00:00:00"/>
    <n v="0"/>
    <x v="0"/>
    <x v="0"/>
    <n v="0"/>
    <x v="0"/>
    <x v="0"/>
  </r>
  <r>
    <x v="140"/>
    <x v="0"/>
    <x v="0"/>
    <x v="4"/>
    <x v="140"/>
    <x v="2"/>
    <x v="4"/>
    <x v="4"/>
    <d v="2024-01-14T00:00:00"/>
    <n v="1"/>
    <x v="1"/>
    <x v="2"/>
    <n v="1"/>
    <x v="1"/>
    <x v="2"/>
  </r>
  <r>
    <x v="141"/>
    <x v="1"/>
    <x v="1"/>
    <x v="0"/>
    <x v="141"/>
    <x v="1"/>
    <x v="2"/>
    <x v="76"/>
    <d v="2024-03-27T00:00:00"/>
    <n v="0"/>
    <x v="0"/>
    <x v="5"/>
    <n v="0"/>
    <x v="0"/>
    <x v="5"/>
  </r>
  <r>
    <x v="142"/>
    <x v="3"/>
    <x v="3"/>
    <x v="7"/>
    <x v="142"/>
    <x v="1"/>
    <x v="5"/>
    <x v="58"/>
    <d v="2024-03-09T00:00:00"/>
    <n v="0"/>
    <x v="0"/>
    <x v="5"/>
    <n v="0"/>
    <x v="0"/>
    <x v="5"/>
  </r>
  <r>
    <x v="143"/>
    <x v="1"/>
    <x v="10"/>
    <x v="0"/>
    <x v="143"/>
    <x v="2"/>
    <x v="1"/>
    <x v="16"/>
    <d v="2024-04-23T00:00:00"/>
    <n v="0"/>
    <x v="0"/>
    <x v="3"/>
    <n v="0"/>
    <x v="0"/>
    <x v="3"/>
  </r>
  <r>
    <x v="144"/>
    <x v="2"/>
    <x v="14"/>
    <x v="5"/>
    <x v="144"/>
    <x v="0"/>
    <x v="0"/>
    <x v="78"/>
    <d v="2024-04-11T00:00:00"/>
    <n v="0"/>
    <x v="0"/>
    <x v="3"/>
    <n v="0"/>
    <x v="0"/>
    <x v="3"/>
  </r>
  <r>
    <x v="145"/>
    <x v="1"/>
    <x v="10"/>
    <x v="6"/>
    <x v="145"/>
    <x v="2"/>
    <x v="2"/>
    <x v="91"/>
    <d v="2024-03-24T00:00:00"/>
    <n v="0"/>
    <x v="0"/>
    <x v="5"/>
    <n v="0"/>
    <x v="0"/>
    <x v="5"/>
  </r>
  <r>
    <x v="146"/>
    <x v="0"/>
    <x v="8"/>
    <x v="7"/>
    <x v="146"/>
    <x v="0"/>
    <x v="5"/>
    <x v="24"/>
    <d v="2024-01-24T00:00:00"/>
    <n v="0"/>
    <x v="0"/>
    <x v="2"/>
    <n v="0"/>
    <x v="0"/>
    <x v="2"/>
  </r>
  <r>
    <x v="147"/>
    <x v="3"/>
    <x v="9"/>
    <x v="2"/>
    <x v="147"/>
    <x v="2"/>
    <x v="1"/>
    <x v="67"/>
    <d v="2024-04-17T00:00:00"/>
    <n v="0"/>
    <x v="0"/>
    <x v="3"/>
    <n v="0"/>
    <x v="0"/>
    <x v="3"/>
  </r>
  <r>
    <x v="148"/>
    <x v="3"/>
    <x v="9"/>
    <x v="3"/>
    <x v="148"/>
    <x v="2"/>
    <x v="5"/>
    <x v="92"/>
    <d v="2024-05-13T00:00:00"/>
    <n v="0"/>
    <x v="0"/>
    <x v="4"/>
    <n v="0"/>
    <x v="0"/>
    <x v="4"/>
  </r>
  <r>
    <x v="149"/>
    <x v="4"/>
    <x v="4"/>
    <x v="5"/>
    <x v="149"/>
    <x v="1"/>
    <x v="4"/>
    <x v="16"/>
    <d v="2024-04-23T00:00:00"/>
    <n v="0"/>
    <x v="0"/>
    <x v="3"/>
    <n v="0"/>
    <x v="0"/>
    <x v="3"/>
  </r>
  <r>
    <x v="150"/>
    <x v="0"/>
    <x v="0"/>
    <x v="0"/>
    <x v="150"/>
    <x v="2"/>
    <x v="5"/>
    <x v="88"/>
    <d v="2024-02-11T00:00:00"/>
    <n v="0"/>
    <x v="0"/>
    <x v="0"/>
    <n v="0"/>
    <x v="0"/>
    <x v="0"/>
  </r>
  <r>
    <x v="151"/>
    <x v="3"/>
    <x v="3"/>
    <x v="7"/>
    <x v="151"/>
    <x v="0"/>
    <x v="0"/>
    <x v="93"/>
    <d v="2024-03-28T00:00:00"/>
    <n v="0"/>
    <x v="0"/>
    <x v="5"/>
    <n v="0"/>
    <x v="0"/>
    <x v="5"/>
  </r>
  <r>
    <x v="152"/>
    <x v="1"/>
    <x v="10"/>
    <x v="5"/>
    <x v="152"/>
    <x v="0"/>
    <x v="3"/>
    <x v="94"/>
    <d v="2024-06-04T00:00:00"/>
    <n v="0"/>
    <x v="0"/>
    <x v="1"/>
    <n v="0"/>
    <x v="0"/>
    <x v="1"/>
  </r>
  <r>
    <x v="153"/>
    <x v="4"/>
    <x v="13"/>
    <x v="3"/>
    <x v="153"/>
    <x v="1"/>
    <x v="5"/>
    <x v="95"/>
    <d v="2024-03-16T00:00:00"/>
    <n v="0"/>
    <x v="0"/>
    <x v="5"/>
    <n v="0"/>
    <x v="0"/>
    <x v="5"/>
  </r>
  <r>
    <x v="154"/>
    <x v="3"/>
    <x v="6"/>
    <x v="3"/>
    <x v="154"/>
    <x v="1"/>
    <x v="2"/>
    <x v="96"/>
    <d v="2024-05-05T00:00:00"/>
    <n v="0"/>
    <x v="0"/>
    <x v="4"/>
    <n v="0"/>
    <x v="0"/>
    <x v="4"/>
  </r>
  <r>
    <x v="155"/>
    <x v="4"/>
    <x v="13"/>
    <x v="0"/>
    <x v="155"/>
    <x v="2"/>
    <x v="1"/>
    <x v="9"/>
    <d v="2024-04-02T00:00:00"/>
    <n v="0"/>
    <x v="0"/>
    <x v="3"/>
    <n v="0"/>
    <x v="0"/>
    <x v="3"/>
  </r>
  <r>
    <x v="156"/>
    <x v="3"/>
    <x v="3"/>
    <x v="1"/>
    <x v="156"/>
    <x v="2"/>
    <x v="3"/>
    <x v="97"/>
    <d v="2024-01-20T00:00:00"/>
    <n v="0"/>
    <x v="0"/>
    <x v="2"/>
    <n v="0"/>
    <x v="0"/>
    <x v="2"/>
  </r>
  <r>
    <x v="157"/>
    <x v="0"/>
    <x v="8"/>
    <x v="0"/>
    <x v="157"/>
    <x v="1"/>
    <x v="1"/>
    <x v="98"/>
    <d v="2024-06-03T00:00:00"/>
    <n v="0"/>
    <x v="0"/>
    <x v="1"/>
    <n v="0"/>
    <x v="0"/>
    <x v="1"/>
  </r>
  <r>
    <x v="158"/>
    <x v="0"/>
    <x v="0"/>
    <x v="5"/>
    <x v="158"/>
    <x v="0"/>
    <x v="0"/>
    <x v="99"/>
    <d v="2024-03-19T00:00:00"/>
    <n v="0"/>
    <x v="0"/>
    <x v="5"/>
    <n v="0"/>
    <x v="0"/>
    <x v="5"/>
  </r>
  <r>
    <x v="159"/>
    <x v="0"/>
    <x v="7"/>
    <x v="3"/>
    <x v="159"/>
    <x v="0"/>
    <x v="5"/>
    <x v="21"/>
    <d v="2024-03-26T00:00:00"/>
    <n v="0"/>
    <x v="0"/>
    <x v="5"/>
    <n v="0"/>
    <x v="0"/>
    <x v="5"/>
  </r>
  <r>
    <x v="160"/>
    <x v="2"/>
    <x v="5"/>
    <x v="2"/>
    <x v="160"/>
    <x v="0"/>
    <x v="0"/>
    <x v="100"/>
    <d v="2024-03-11T00:00:00"/>
    <n v="0"/>
    <x v="0"/>
    <x v="5"/>
    <n v="0"/>
    <x v="0"/>
    <x v="5"/>
  </r>
  <r>
    <x v="161"/>
    <x v="1"/>
    <x v="1"/>
    <x v="0"/>
    <x v="161"/>
    <x v="2"/>
    <x v="3"/>
    <x v="10"/>
    <d v="2024-05-25T00:00:00"/>
    <n v="0"/>
    <x v="0"/>
    <x v="4"/>
    <n v="0"/>
    <x v="0"/>
    <x v="4"/>
  </r>
  <r>
    <x v="162"/>
    <x v="2"/>
    <x v="5"/>
    <x v="0"/>
    <x v="162"/>
    <x v="2"/>
    <x v="0"/>
    <x v="14"/>
    <d v="2024-01-05T00:00:00"/>
    <n v="0"/>
    <x v="0"/>
    <x v="2"/>
    <n v="0"/>
    <x v="0"/>
    <x v="2"/>
  </r>
  <r>
    <x v="163"/>
    <x v="4"/>
    <x v="13"/>
    <x v="3"/>
    <x v="163"/>
    <x v="2"/>
    <x v="2"/>
    <x v="4"/>
    <d v="2024-01-13T00:00:00"/>
    <n v="0"/>
    <x v="0"/>
    <x v="2"/>
    <n v="0"/>
    <x v="0"/>
    <x v="2"/>
  </r>
  <r>
    <x v="164"/>
    <x v="1"/>
    <x v="11"/>
    <x v="4"/>
    <x v="164"/>
    <x v="2"/>
    <x v="5"/>
    <x v="80"/>
    <d v="2024-04-21T00:00:00"/>
    <n v="0"/>
    <x v="0"/>
    <x v="3"/>
    <n v="0"/>
    <x v="0"/>
    <x v="3"/>
  </r>
  <r>
    <x v="165"/>
    <x v="3"/>
    <x v="3"/>
    <x v="3"/>
    <x v="165"/>
    <x v="1"/>
    <x v="2"/>
    <x v="67"/>
    <d v="2024-04-17T00:00:00"/>
    <n v="0"/>
    <x v="0"/>
    <x v="3"/>
    <n v="0"/>
    <x v="0"/>
    <x v="3"/>
  </r>
  <r>
    <x v="166"/>
    <x v="2"/>
    <x v="5"/>
    <x v="3"/>
    <x v="166"/>
    <x v="0"/>
    <x v="5"/>
    <x v="86"/>
    <d v="2024-03-30T00:00:00"/>
    <n v="0"/>
    <x v="0"/>
    <x v="5"/>
    <n v="0"/>
    <x v="0"/>
    <x v="5"/>
  </r>
  <r>
    <x v="167"/>
    <x v="1"/>
    <x v="1"/>
    <x v="2"/>
    <x v="167"/>
    <x v="0"/>
    <x v="1"/>
    <x v="101"/>
    <d v="2024-02-21T00:00:00"/>
    <n v="0"/>
    <x v="0"/>
    <x v="0"/>
    <n v="0"/>
    <x v="0"/>
    <x v="0"/>
  </r>
  <r>
    <x v="168"/>
    <x v="1"/>
    <x v="1"/>
    <x v="0"/>
    <x v="168"/>
    <x v="1"/>
    <x v="1"/>
    <x v="102"/>
    <d v="2024-02-24T00:00:00"/>
    <n v="0"/>
    <x v="0"/>
    <x v="0"/>
    <n v="0"/>
    <x v="0"/>
    <x v="0"/>
  </r>
  <r>
    <x v="169"/>
    <x v="3"/>
    <x v="3"/>
    <x v="2"/>
    <x v="169"/>
    <x v="0"/>
    <x v="2"/>
    <x v="103"/>
    <d v="2024-01-17T00:00:00"/>
    <n v="1"/>
    <x v="1"/>
    <x v="2"/>
    <n v="1"/>
    <x v="1"/>
    <x v="2"/>
  </r>
  <r>
    <x v="170"/>
    <x v="0"/>
    <x v="7"/>
    <x v="3"/>
    <x v="170"/>
    <x v="2"/>
    <x v="1"/>
    <x v="83"/>
    <d v="2024-01-14T00:00:00"/>
    <n v="0"/>
    <x v="0"/>
    <x v="2"/>
    <n v="0"/>
    <x v="0"/>
    <x v="2"/>
  </r>
  <r>
    <x v="171"/>
    <x v="4"/>
    <x v="12"/>
    <x v="7"/>
    <x v="171"/>
    <x v="1"/>
    <x v="2"/>
    <x v="104"/>
    <d v="2024-05-28T00:00:00"/>
    <n v="0"/>
    <x v="0"/>
    <x v="4"/>
    <n v="0"/>
    <x v="0"/>
    <x v="4"/>
  </r>
  <r>
    <x v="172"/>
    <x v="4"/>
    <x v="4"/>
    <x v="4"/>
    <x v="172"/>
    <x v="1"/>
    <x v="1"/>
    <x v="105"/>
    <d v="2024-05-08T00:00:00"/>
    <n v="0"/>
    <x v="0"/>
    <x v="4"/>
    <n v="0"/>
    <x v="0"/>
    <x v="4"/>
  </r>
  <r>
    <x v="173"/>
    <x v="0"/>
    <x v="0"/>
    <x v="1"/>
    <x v="173"/>
    <x v="0"/>
    <x v="2"/>
    <x v="106"/>
    <d v="2024-05-30T00:00:00"/>
    <n v="0"/>
    <x v="0"/>
    <x v="4"/>
    <n v="0"/>
    <x v="0"/>
    <x v="4"/>
  </r>
  <r>
    <x v="174"/>
    <x v="1"/>
    <x v="10"/>
    <x v="4"/>
    <x v="174"/>
    <x v="2"/>
    <x v="4"/>
    <x v="107"/>
    <d v="2024-03-31T00:00:00"/>
    <n v="0"/>
    <x v="0"/>
    <x v="5"/>
    <n v="0"/>
    <x v="0"/>
    <x v="5"/>
  </r>
  <r>
    <x v="175"/>
    <x v="0"/>
    <x v="8"/>
    <x v="3"/>
    <x v="175"/>
    <x v="1"/>
    <x v="4"/>
    <x v="36"/>
    <d v="2024-05-22T00:00:00"/>
    <n v="0"/>
    <x v="0"/>
    <x v="4"/>
    <n v="0"/>
    <x v="0"/>
    <x v="4"/>
  </r>
  <r>
    <x v="176"/>
    <x v="4"/>
    <x v="13"/>
    <x v="7"/>
    <x v="176"/>
    <x v="2"/>
    <x v="0"/>
    <x v="108"/>
    <d v="2024-02-06T00:00:00"/>
    <n v="0"/>
    <x v="0"/>
    <x v="0"/>
    <n v="0"/>
    <x v="0"/>
    <x v="0"/>
  </r>
  <r>
    <x v="177"/>
    <x v="1"/>
    <x v="11"/>
    <x v="3"/>
    <x v="177"/>
    <x v="1"/>
    <x v="4"/>
    <x v="109"/>
    <d v="2024-02-04T00:00:00"/>
    <n v="1"/>
    <x v="1"/>
    <x v="0"/>
    <n v="1"/>
    <x v="1"/>
    <x v="0"/>
  </r>
  <r>
    <x v="178"/>
    <x v="2"/>
    <x v="2"/>
    <x v="3"/>
    <x v="178"/>
    <x v="2"/>
    <x v="0"/>
    <x v="110"/>
    <d v="2024-04-20T00:00:00"/>
    <n v="0"/>
    <x v="0"/>
    <x v="3"/>
    <n v="0"/>
    <x v="0"/>
    <x v="3"/>
  </r>
  <r>
    <x v="179"/>
    <x v="2"/>
    <x v="2"/>
    <x v="1"/>
    <x v="179"/>
    <x v="2"/>
    <x v="1"/>
    <x v="45"/>
    <d v="2024-05-19T00:00:00"/>
    <n v="0"/>
    <x v="0"/>
    <x v="4"/>
    <n v="0"/>
    <x v="0"/>
    <x v="4"/>
  </r>
  <r>
    <x v="180"/>
    <x v="2"/>
    <x v="5"/>
    <x v="5"/>
    <x v="180"/>
    <x v="1"/>
    <x v="4"/>
    <x v="59"/>
    <d v="2024-02-14T00:00:00"/>
    <n v="0"/>
    <x v="0"/>
    <x v="0"/>
    <n v="0"/>
    <x v="0"/>
    <x v="0"/>
  </r>
  <r>
    <x v="181"/>
    <x v="4"/>
    <x v="4"/>
    <x v="3"/>
    <x v="181"/>
    <x v="2"/>
    <x v="0"/>
    <x v="43"/>
    <d v="2024-01-01T00:00:00"/>
    <n v="0"/>
    <x v="0"/>
    <x v="2"/>
    <n v="0"/>
    <x v="0"/>
    <x v="2"/>
  </r>
  <r>
    <x v="182"/>
    <x v="2"/>
    <x v="14"/>
    <x v="6"/>
    <x v="182"/>
    <x v="0"/>
    <x v="2"/>
    <x v="1"/>
    <d v="2024-06-03T00:00:00"/>
    <n v="1"/>
    <x v="1"/>
    <x v="1"/>
    <n v="1"/>
    <x v="1"/>
    <x v="1"/>
  </r>
  <r>
    <x v="183"/>
    <x v="3"/>
    <x v="6"/>
    <x v="4"/>
    <x v="183"/>
    <x v="2"/>
    <x v="2"/>
    <x v="111"/>
    <d v="2024-02-18T00:00:00"/>
    <n v="0"/>
    <x v="0"/>
    <x v="0"/>
    <n v="0"/>
    <x v="0"/>
    <x v="0"/>
  </r>
  <r>
    <x v="184"/>
    <x v="3"/>
    <x v="3"/>
    <x v="3"/>
    <x v="184"/>
    <x v="2"/>
    <x v="3"/>
    <x v="101"/>
    <d v="2024-02-21T00:00:00"/>
    <n v="0"/>
    <x v="0"/>
    <x v="0"/>
    <n v="0"/>
    <x v="0"/>
    <x v="0"/>
  </r>
  <r>
    <x v="185"/>
    <x v="0"/>
    <x v="7"/>
    <x v="0"/>
    <x v="185"/>
    <x v="0"/>
    <x v="2"/>
    <x v="112"/>
    <d v="2024-03-29T00:00:00"/>
    <n v="0"/>
    <x v="0"/>
    <x v="5"/>
    <n v="0"/>
    <x v="0"/>
    <x v="5"/>
  </r>
  <r>
    <x v="186"/>
    <x v="1"/>
    <x v="1"/>
    <x v="1"/>
    <x v="186"/>
    <x v="1"/>
    <x v="0"/>
    <x v="107"/>
    <d v="2024-03-31T00:00:00"/>
    <n v="0"/>
    <x v="0"/>
    <x v="5"/>
    <n v="0"/>
    <x v="0"/>
    <x v="5"/>
  </r>
  <r>
    <x v="187"/>
    <x v="3"/>
    <x v="6"/>
    <x v="1"/>
    <x v="187"/>
    <x v="2"/>
    <x v="5"/>
    <x v="81"/>
    <d v="2024-06-07T00:00:00"/>
    <n v="0"/>
    <x v="0"/>
    <x v="1"/>
    <n v="0"/>
    <x v="0"/>
    <x v="1"/>
  </r>
  <r>
    <x v="188"/>
    <x v="0"/>
    <x v="0"/>
    <x v="3"/>
    <x v="188"/>
    <x v="1"/>
    <x v="1"/>
    <x v="108"/>
    <d v="2024-02-06T00:00:00"/>
    <n v="0"/>
    <x v="0"/>
    <x v="0"/>
    <n v="0"/>
    <x v="0"/>
    <x v="0"/>
  </r>
  <r>
    <x v="189"/>
    <x v="2"/>
    <x v="5"/>
    <x v="4"/>
    <x v="189"/>
    <x v="2"/>
    <x v="2"/>
    <x v="81"/>
    <d v="2024-06-07T00:00:00"/>
    <n v="0"/>
    <x v="0"/>
    <x v="1"/>
    <n v="0"/>
    <x v="0"/>
    <x v="1"/>
  </r>
  <r>
    <x v="190"/>
    <x v="2"/>
    <x v="2"/>
    <x v="3"/>
    <x v="190"/>
    <x v="1"/>
    <x v="4"/>
    <x v="43"/>
    <d v="2024-01-01T00:00:00"/>
    <n v="0"/>
    <x v="0"/>
    <x v="2"/>
    <n v="0"/>
    <x v="0"/>
    <x v="2"/>
  </r>
  <r>
    <x v="191"/>
    <x v="3"/>
    <x v="9"/>
    <x v="0"/>
    <x v="191"/>
    <x v="1"/>
    <x v="4"/>
    <x v="113"/>
    <d v="2024-03-03T00:00:00"/>
    <n v="0"/>
    <x v="0"/>
    <x v="5"/>
    <n v="0"/>
    <x v="0"/>
    <x v="5"/>
  </r>
  <r>
    <x v="192"/>
    <x v="2"/>
    <x v="2"/>
    <x v="3"/>
    <x v="192"/>
    <x v="0"/>
    <x v="3"/>
    <x v="114"/>
    <d v="2024-01-19T00:00:00"/>
    <n v="0"/>
    <x v="0"/>
    <x v="2"/>
    <n v="0"/>
    <x v="0"/>
    <x v="2"/>
  </r>
  <r>
    <x v="193"/>
    <x v="1"/>
    <x v="10"/>
    <x v="6"/>
    <x v="193"/>
    <x v="1"/>
    <x v="1"/>
    <x v="27"/>
    <d v="2024-04-25T00:00:00"/>
    <n v="0"/>
    <x v="0"/>
    <x v="3"/>
    <n v="0"/>
    <x v="0"/>
    <x v="3"/>
  </r>
  <r>
    <x v="194"/>
    <x v="1"/>
    <x v="1"/>
    <x v="4"/>
    <x v="194"/>
    <x v="1"/>
    <x v="3"/>
    <x v="1"/>
    <d v="2024-06-02T00:00:00"/>
    <n v="0"/>
    <x v="0"/>
    <x v="1"/>
    <n v="0"/>
    <x v="0"/>
    <x v="1"/>
  </r>
  <r>
    <x v="195"/>
    <x v="1"/>
    <x v="10"/>
    <x v="1"/>
    <x v="195"/>
    <x v="1"/>
    <x v="0"/>
    <x v="71"/>
    <d v="2024-05-03T00:00:00"/>
    <n v="0"/>
    <x v="0"/>
    <x v="4"/>
    <n v="0"/>
    <x v="0"/>
    <x v="4"/>
  </r>
  <r>
    <x v="196"/>
    <x v="4"/>
    <x v="4"/>
    <x v="3"/>
    <x v="196"/>
    <x v="1"/>
    <x v="0"/>
    <x v="8"/>
    <d v="2024-05-16T00:00:00"/>
    <n v="0"/>
    <x v="0"/>
    <x v="4"/>
    <n v="0"/>
    <x v="0"/>
    <x v="4"/>
  </r>
  <r>
    <x v="197"/>
    <x v="0"/>
    <x v="0"/>
    <x v="0"/>
    <x v="0"/>
    <x v="0"/>
    <x v="0"/>
    <x v="0"/>
    <d v="2024-02-20T00:00:00"/>
    <n v="0"/>
    <x v="0"/>
    <x v="0"/>
    <n v="0"/>
    <x v="0"/>
    <x v="0"/>
  </r>
  <r>
    <x v="198"/>
    <x v="1"/>
    <x v="1"/>
    <x v="1"/>
    <x v="1"/>
    <x v="1"/>
    <x v="1"/>
    <x v="1"/>
    <d v="2024-06-02T00:00:00"/>
    <n v="0"/>
    <x v="0"/>
    <x v="1"/>
    <n v="0"/>
    <x v="0"/>
    <x v="1"/>
  </r>
  <r>
    <x v="199"/>
    <x v="2"/>
    <x v="2"/>
    <x v="2"/>
    <x v="2"/>
    <x v="1"/>
    <x v="2"/>
    <x v="2"/>
    <d v="2024-02-09T00:00:00"/>
    <n v="0"/>
    <x v="0"/>
    <x v="0"/>
    <n v="0"/>
    <x v="0"/>
    <x v="0"/>
  </r>
  <r>
    <x v="200"/>
    <x v="3"/>
    <x v="3"/>
    <x v="3"/>
    <x v="3"/>
    <x v="2"/>
    <x v="0"/>
    <x v="3"/>
    <d v="2024-06-01T00:00:00"/>
    <n v="0"/>
    <x v="0"/>
    <x v="1"/>
    <n v="0"/>
    <x v="0"/>
    <x v="1"/>
  </r>
  <r>
    <x v="201"/>
    <x v="4"/>
    <x v="4"/>
    <x v="7"/>
    <x v="4"/>
    <x v="2"/>
    <x v="3"/>
    <x v="4"/>
    <d v="2024-01-13T00:00:00"/>
    <n v="0"/>
    <x v="0"/>
    <x v="2"/>
    <n v="0"/>
    <x v="0"/>
    <x v="2"/>
  </r>
  <r>
    <x v="202"/>
    <x v="1"/>
    <x v="1"/>
    <x v="0"/>
    <x v="5"/>
    <x v="2"/>
    <x v="4"/>
    <x v="5"/>
    <d v="2024-02-17T00:00:00"/>
    <n v="1"/>
    <x v="1"/>
    <x v="0"/>
    <n v="1"/>
    <x v="1"/>
    <x v="0"/>
  </r>
  <r>
    <x v="203"/>
    <x v="2"/>
    <x v="5"/>
    <x v="0"/>
    <x v="6"/>
    <x v="2"/>
    <x v="4"/>
    <x v="6"/>
    <d v="2024-01-24T00:00:00"/>
    <n v="1"/>
    <x v="1"/>
    <x v="2"/>
    <n v="1"/>
    <x v="1"/>
    <x v="2"/>
  </r>
  <r>
    <x v="204"/>
    <x v="2"/>
    <x v="5"/>
    <x v="2"/>
    <x v="7"/>
    <x v="0"/>
    <x v="2"/>
    <x v="7"/>
    <d v="2024-04-18T00:00:00"/>
    <n v="0"/>
    <x v="0"/>
    <x v="3"/>
    <n v="0"/>
    <x v="0"/>
    <x v="3"/>
  </r>
  <r>
    <x v="205"/>
    <x v="4"/>
    <x v="13"/>
    <x v="3"/>
    <x v="8"/>
    <x v="2"/>
    <x v="5"/>
    <x v="8"/>
    <d v="2024-05-16T00:00:00"/>
    <n v="0"/>
    <x v="0"/>
    <x v="4"/>
    <n v="0"/>
    <x v="0"/>
    <x v="4"/>
  </r>
  <r>
    <x v="206"/>
    <x v="3"/>
    <x v="6"/>
    <x v="2"/>
    <x v="9"/>
    <x v="1"/>
    <x v="3"/>
    <x v="9"/>
    <d v="2024-04-02T00:00:00"/>
    <n v="0"/>
    <x v="0"/>
    <x v="3"/>
    <n v="0"/>
    <x v="0"/>
    <x v="3"/>
  </r>
  <r>
    <x v="207"/>
    <x v="0"/>
    <x v="7"/>
    <x v="1"/>
    <x v="10"/>
    <x v="1"/>
    <x v="2"/>
    <x v="10"/>
    <d v="2024-05-25T00:00:00"/>
    <n v="0"/>
    <x v="0"/>
    <x v="4"/>
    <n v="0"/>
    <x v="0"/>
    <x v="4"/>
  </r>
  <r>
    <x v="208"/>
    <x v="0"/>
    <x v="8"/>
    <x v="3"/>
    <x v="11"/>
    <x v="2"/>
    <x v="4"/>
    <x v="11"/>
    <d v="2024-06-08T00:00:00"/>
    <n v="0"/>
    <x v="0"/>
    <x v="1"/>
    <n v="0"/>
    <x v="0"/>
    <x v="1"/>
  </r>
  <r>
    <x v="209"/>
    <x v="3"/>
    <x v="3"/>
    <x v="2"/>
    <x v="12"/>
    <x v="1"/>
    <x v="5"/>
    <x v="12"/>
    <d v="2024-02-22T00:00:00"/>
    <n v="0"/>
    <x v="0"/>
    <x v="0"/>
    <n v="0"/>
    <x v="0"/>
    <x v="0"/>
  </r>
  <r>
    <x v="210"/>
    <x v="0"/>
    <x v="0"/>
    <x v="4"/>
    <x v="13"/>
    <x v="0"/>
    <x v="2"/>
    <x v="0"/>
    <d v="2024-02-20T00:00:00"/>
    <n v="0"/>
    <x v="0"/>
    <x v="0"/>
    <n v="0"/>
    <x v="0"/>
    <x v="0"/>
  </r>
  <r>
    <x v="211"/>
    <x v="3"/>
    <x v="9"/>
    <x v="4"/>
    <x v="14"/>
    <x v="0"/>
    <x v="0"/>
    <x v="13"/>
    <d v="2024-06-09T00:00:00"/>
    <n v="0"/>
    <x v="0"/>
    <x v="1"/>
    <n v="0"/>
    <x v="0"/>
    <x v="1"/>
  </r>
  <r>
    <x v="212"/>
    <x v="0"/>
    <x v="8"/>
    <x v="4"/>
    <x v="15"/>
    <x v="2"/>
    <x v="2"/>
    <x v="14"/>
    <d v="2024-01-06T00:00:00"/>
    <n v="1"/>
    <x v="1"/>
    <x v="2"/>
    <n v="1"/>
    <x v="1"/>
    <x v="2"/>
  </r>
  <r>
    <x v="213"/>
    <x v="0"/>
    <x v="7"/>
    <x v="3"/>
    <x v="16"/>
    <x v="0"/>
    <x v="0"/>
    <x v="15"/>
    <d v="2024-03-10T00:00:00"/>
    <n v="0"/>
    <x v="0"/>
    <x v="5"/>
    <n v="0"/>
    <x v="0"/>
    <x v="5"/>
  </r>
  <r>
    <x v="214"/>
    <x v="1"/>
    <x v="10"/>
    <x v="3"/>
    <x v="17"/>
    <x v="2"/>
    <x v="0"/>
    <x v="16"/>
    <d v="2024-04-23T00:00:00"/>
    <n v="0"/>
    <x v="0"/>
    <x v="3"/>
    <n v="0"/>
    <x v="0"/>
    <x v="3"/>
  </r>
  <r>
    <x v="215"/>
    <x v="0"/>
    <x v="0"/>
    <x v="5"/>
    <x v="18"/>
    <x v="0"/>
    <x v="3"/>
    <x v="14"/>
    <d v="2024-01-05T00:00:00"/>
    <n v="0"/>
    <x v="0"/>
    <x v="2"/>
    <n v="0"/>
    <x v="0"/>
    <x v="2"/>
  </r>
  <r>
    <x v="216"/>
    <x v="0"/>
    <x v="7"/>
    <x v="3"/>
    <x v="19"/>
    <x v="0"/>
    <x v="3"/>
    <x v="17"/>
    <d v="2024-02-04T00:00:00"/>
    <n v="0"/>
    <x v="0"/>
    <x v="0"/>
    <n v="0"/>
    <x v="0"/>
    <x v="0"/>
  </r>
  <r>
    <x v="217"/>
    <x v="2"/>
    <x v="5"/>
    <x v="3"/>
    <x v="20"/>
    <x v="2"/>
    <x v="0"/>
    <x v="18"/>
    <d v="2024-02-07T00:00:00"/>
    <n v="0"/>
    <x v="0"/>
    <x v="0"/>
    <n v="0"/>
    <x v="0"/>
    <x v="0"/>
  </r>
  <r>
    <x v="218"/>
    <x v="3"/>
    <x v="3"/>
    <x v="6"/>
    <x v="21"/>
    <x v="2"/>
    <x v="0"/>
    <x v="19"/>
    <d v="2024-01-10T00:00:00"/>
    <n v="0"/>
    <x v="0"/>
    <x v="2"/>
    <n v="0"/>
    <x v="0"/>
    <x v="2"/>
  </r>
  <r>
    <x v="219"/>
    <x v="3"/>
    <x v="9"/>
    <x v="3"/>
    <x v="22"/>
    <x v="1"/>
    <x v="5"/>
    <x v="20"/>
    <d v="2024-05-01T00:00:00"/>
    <n v="0"/>
    <x v="0"/>
    <x v="4"/>
    <n v="0"/>
    <x v="0"/>
    <x v="4"/>
  </r>
  <r>
    <x v="220"/>
    <x v="0"/>
    <x v="0"/>
    <x v="0"/>
    <x v="23"/>
    <x v="0"/>
    <x v="2"/>
    <x v="21"/>
    <d v="2024-03-26T00:00:00"/>
    <n v="0"/>
    <x v="0"/>
    <x v="5"/>
    <n v="0"/>
    <x v="0"/>
    <x v="5"/>
  </r>
  <r>
    <x v="221"/>
    <x v="1"/>
    <x v="11"/>
    <x v="4"/>
    <x v="24"/>
    <x v="1"/>
    <x v="1"/>
    <x v="22"/>
    <d v="2024-01-31T00:00:00"/>
    <n v="0"/>
    <x v="0"/>
    <x v="2"/>
    <n v="0"/>
    <x v="0"/>
    <x v="2"/>
  </r>
  <r>
    <x v="222"/>
    <x v="4"/>
    <x v="12"/>
    <x v="7"/>
    <x v="25"/>
    <x v="2"/>
    <x v="5"/>
    <x v="23"/>
    <d v="2024-04-10T00:00:00"/>
    <n v="0"/>
    <x v="0"/>
    <x v="3"/>
    <n v="0"/>
    <x v="0"/>
    <x v="3"/>
  </r>
  <r>
    <x v="223"/>
    <x v="4"/>
    <x v="13"/>
    <x v="1"/>
    <x v="26"/>
    <x v="1"/>
    <x v="4"/>
    <x v="24"/>
    <d v="2024-01-25T00:00:00"/>
    <n v="1"/>
    <x v="1"/>
    <x v="2"/>
    <n v="1"/>
    <x v="1"/>
    <x v="2"/>
  </r>
  <r>
    <x v="224"/>
    <x v="1"/>
    <x v="1"/>
    <x v="7"/>
    <x v="27"/>
    <x v="0"/>
    <x v="3"/>
    <x v="19"/>
    <d v="2024-01-10T00:00:00"/>
    <n v="0"/>
    <x v="0"/>
    <x v="2"/>
    <n v="0"/>
    <x v="0"/>
    <x v="2"/>
  </r>
  <r>
    <x v="225"/>
    <x v="0"/>
    <x v="0"/>
    <x v="3"/>
    <x v="29"/>
    <x v="0"/>
    <x v="1"/>
    <x v="22"/>
    <d v="2024-01-31T00:00:00"/>
    <n v="0"/>
    <x v="0"/>
    <x v="2"/>
    <n v="0"/>
    <x v="0"/>
    <x v="2"/>
  </r>
  <r>
    <x v="226"/>
    <x v="2"/>
    <x v="5"/>
    <x v="3"/>
    <x v="30"/>
    <x v="2"/>
    <x v="0"/>
    <x v="25"/>
    <d v="2024-05-18T00:00:00"/>
    <n v="0"/>
    <x v="0"/>
    <x v="4"/>
    <n v="0"/>
    <x v="0"/>
    <x v="4"/>
  </r>
  <r>
    <x v="227"/>
    <x v="0"/>
    <x v="0"/>
    <x v="5"/>
    <x v="31"/>
    <x v="1"/>
    <x v="1"/>
    <x v="26"/>
    <d v="2024-02-08T00:00:00"/>
    <n v="0"/>
    <x v="0"/>
    <x v="0"/>
    <n v="0"/>
    <x v="0"/>
    <x v="0"/>
  </r>
  <r>
    <x v="228"/>
    <x v="0"/>
    <x v="8"/>
    <x v="4"/>
    <x v="32"/>
    <x v="1"/>
    <x v="3"/>
    <x v="4"/>
    <d v="2024-01-13T00:00:00"/>
    <n v="0"/>
    <x v="0"/>
    <x v="2"/>
    <n v="0"/>
    <x v="0"/>
    <x v="2"/>
  </r>
  <r>
    <x v="229"/>
    <x v="3"/>
    <x v="3"/>
    <x v="5"/>
    <x v="33"/>
    <x v="1"/>
    <x v="3"/>
    <x v="27"/>
    <d v="2024-04-25T00:00:00"/>
    <n v="0"/>
    <x v="0"/>
    <x v="3"/>
    <n v="0"/>
    <x v="0"/>
    <x v="3"/>
  </r>
  <r>
    <x v="230"/>
    <x v="0"/>
    <x v="7"/>
    <x v="5"/>
    <x v="34"/>
    <x v="2"/>
    <x v="1"/>
    <x v="28"/>
    <d v="2024-01-28T00:00:00"/>
    <n v="0"/>
    <x v="0"/>
    <x v="2"/>
    <n v="0"/>
    <x v="0"/>
    <x v="2"/>
  </r>
  <r>
    <x v="231"/>
    <x v="3"/>
    <x v="9"/>
    <x v="6"/>
    <x v="35"/>
    <x v="0"/>
    <x v="4"/>
    <x v="29"/>
    <d v="2024-03-07T00:00:00"/>
    <n v="0"/>
    <x v="0"/>
    <x v="5"/>
    <n v="0"/>
    <x v="0"/>
    <x v="5"/>
  </r>
  <r>
    <x v="232"/>
    <x v="0"/>
    <x v="0"/>
    <x v="3"/>
    <x v="36"/>
    <x v="2"/>
    <x v="3"/>
    <x v="30"/>
    <d v="2024-06-06T00:00:00"/>
    <n v="0"/>
    <x v="0"/>
    <x v="1"/>
    <n v="0"/>
    <x v="0"/>
    <x v="1"/>
  </r>
  <r>
    <x v="233"/>
    <x v="1"/>
    <x v="10"/>
    <x v="0"/>
    <x v="37"/>
    <x v="0"/>
    <x v="2"/>
    <x v="31"/>
    <d v="2024-05-02T00:00:00"/>
    <n v="0"/>
    <x v="0"/>
    <x v="4"/>
    <n v="0"/>
    <x v="0"/>
    <x v="4"/>
  </r>
  <r>
    <x v="234"/>
    <x v="1"/>
    <x v="10"/>
    <x v="1"/>
    <x v="38"/>
    <x v="2"/>
    <x v="1"/>
    <x v="17"/>
    <d v="2024-02-04T00:00:00"/>
    <n v="0"/>
    <x v="0"/>
    <x v="0"/>
    <n v="0"/>
    <x v="0"/>
    <x v="0"/>
  </r>
  <r>
    <x v="235"/>
    <x v="0"/>
    <x v="7"/>
    <x v="4"/>
    <x v="39"/>
    <x v="0"/>
    <x v="0"/>
    <x v="32"/>
    <d v="2024-02-23T00:00:00"/>
    <n v="0"/>
    <x v="0"/>
    <x v="0"/>
    <n v="0"/>
    <x v="0"/>
    <x v="0"/>
  </r>
  <r>
    <x v="236"/>
    <x v="4"/>
    <x v="13"/>
    <x v="4"/>
    <x v="40"/>
    <x v="2"/>
    <x v="1"/>
    <x v="33"/>
    <d v="2024-03-08T00:00:00"/>
    <n v="0"/>
    <x v="0"/>
    <x v="5"/>
    <n v="0"/>
    <x v="0"/>
    <x v="5"/>
  </r>
  <r>
    <x v="237"/>
    <x v="4"/>
    <x v="13"/>
    <x v="3"/>
    <x v="41"/>
    <x v="1"/>
    <x v="1"/>
    <x v="34"/>
    <d v="2024-04-15T00:00:00"/>
    <n v="0"/>
    <x v="0"/>
    <x v="3"/>
    <n v="0"/>
    <x v="0"/>
    <x v="3"/>
  </r>
  <r>
    <x v="238"/>
    <x v="4"/>
    <x v="12"/>
    <x v="2"/>
    <x v="42"/>
    <x v="2"/>
    <x v="0"/>
    <x v="35"/>
    <d v="2024-04-12T00:00:00"/>
    <n v="0"/>
    <x v="0"/>
    <x v="3"/>
    <n v="0"/>
    <x v="0"/>
    <x v="3"/>
  </r>
  <r>
    <x v="239"/>
    <x v="1"/>
    <x v="1"/>
    <x v="2"/>
    <x v="43"/>
    <x v="1"/>
    <x v="3"/>
    <x v="36"/>
    <d v="2024-05-22T00:00:00"/>
    <n v="0"/>
    <x v="0"/>
    <x v="4"/>
    <n v="0"/>
    <x v="0"/>
    <x v="4"/>
  </r>
  <r>
    <x v="240"/>
    <x v="2"/>
    <x v="2"/>
    <x v="2"/>
    <x v="44"/>
    <x v="2"/>
    <x v="3"/>
    <x v="37"/>
    <d v="2024-01-30T00:00:00"/>
    <n v="0"/>
    <x v="0"/>
    <x v="2"/>
    <n v="0"/>
    <x v="0"/>
    <x v="2"/>
  </r>
  <r>
    <x v="241"/>
    <x v="2"/>
    <x v="2"/>
    <x v="5"/>
    <x v="45"/>
    <x v="2"/>
    <x v="1"/>
    <x v="38"/>
    <d v="2024-05-06T00:00:00"/>
    <n v="0"/>
    <x v="0"/>
    <x v="4"/>
    <n v="0"/>
    <x v="0"/>
    <x v="4"/>
  </r>
  <r>
    <x v="242"/>
    <x v="0"/>
    <x v="0"/>
    <x v="3"/>
    <x v="46"/>
    <x v="0"/>
    <x v="0"/>
    <x v="39"/>
    <d v="2024-05-27T00:00:00"/>
    <n v="0"/>
    <x v="0"/>
    <x v="4"/>
    <n v="0"/>
    <x v="0"/>
    <x v="4"/>
  </r>
  <r>
    <x v="243"/>
    <x v="0"/>
    <x v="0"/>
    <x v="3"/>
    <x v="47"/>
    <x v="2"/>
    <x v="4"/>
    <x v="40"/>
    <d v="2024-03-21T00:00:00"/>
    <n v="0"/>
    <x v="0"/>
    <x v="5"/>
    <n v="0"/>
    <x v="0"/>
    <x v="5"/>
  </r>
  <r>
    <x v="244"/>
    <x v="4"/>
    <x v="12"/>
    <x v="5"/>
    <x v="48"/>
    <x v="2"/>
    <x v="2"/>
    <x v="39"/>
    <d v="2024-05-27T00:00:00"/>
    <n v="0"/>
    <x v="0"/>
    <x v="4"/>
    <n v="0"/>
    <x v="0"/>
    <x v="4"/>
  </r>
  <r>
    <x v="245"/>
    <x v="4"/>
    <x v="4"/>
    <x v="2"/>
    <x v="49"/>
    <x v="2"/>
    <x v="2"/>
    <x v="42"/>
    <d v="2024-04-08T00:00:00"/>
    <n v="0"/>
    <x v="0"/>
    <x v="3"/>
    <n v="0"/>
    <x v="0"/>
    <x v="3"/>
  </r>
  <r>
    <x v="246"/>
    <x v="4"/>
    <x v="13"/>
    <x v="7"/>
    <x v="50"/>
    <x v="2"/>
    <x v="0"/>
    <x v="43"/>
    <d v="2024-01-01T00:00:00"/>
    <n v="0"/>
    <x v="0"/>
    <x v="2"/>
    <n v="0"/>
    <x v="0"/>
    <x v="2"/>
  </r>
  <r>
    <x v="247"/>
    <x v="0"/>
    <x v="0"/>
    <x v="6"/>
    <x v="51"/>
    <x v="0"/>
    <x v="4"/>
    <x v="13"/>
    <d v="2024-06-09T00:00:00"/>
    <n v="0"/>
    <x v="0"/>
    <x v="1"/>
    <n v="0"/>
    <x v="0"/>
    <x v="1"/>
  </r>
  <r>
    <x v="248"/>
    <x v="2"/>
    <x v="14"/>
    <x v="1"/>
    <x v="52"/>
    <x v="0"/>
    <x v="3"/>
    <x v="44"/>
    <d v="2024-05-11T00:00:00"/>
    <n v="0"/>
    <x v="0"/>
    <x v="4"/>
    <n v="0"/>
    <x v="0"/>
    <x v="4"/>
  </r>
  <r>
    <x v="249"/>
    <x v="0"/>
    <x v="0"/>
    <x v="4"/>
    <x v="53"/>
    <x v="0"/>
    <x v="0"/>
    <x v="16"/>
    <d v="2024-04-23T00:00:00"/>
    <n v="0"/>
    <x v="0"/>
    <x v="3"/>
    <n v="0"/>
    <x v="0"/>
    <x v="3"/>
  </r>
  <r>
    <x v="250"/>
    <x v="1"/>
    <x v="10"/>
    <x v="3"/>
    <x v="54"/>
    <x v="2"/>
    <x v="2"/>
    <x v="44"/>
    <d v="2024-05-11T00:00:00"/>
    <n v="0"/>
    <x v="0"/>
    <x v="4"/>
    <n v="0"/>
    <x v="0"/>
    <x v="4"/>
  </r>
  <r>
    <x v="251"/>
    <x v="3"/>
    <x v="9"/>
    <x v="5"/>
    <x v="55"/>
    <x v="0"/>
    <x v="5"/>
    <x v="4"/>
    <d v="2024-01-14T00:00:00"/>
    <n v="1"/>
    <x v="1"/>
    <x v="2"/>
    <n v="1"/>
    <x v="1"/>
    <x v="2"/>
  </r>
  <r>
    <x v="252"/>
    <x v="3"/>
    <x v="9"/>
    <x v="4"/>
    <x v="56"/>
    <x v="1"/>
    <x v="4"/>
    <x v="45"/>
    <d v="2024-05-19T00:00:00"/>
    <n v="0"/>
    <x v="0"/>
    <x v="4"/>
    <n v="0"/>
    <x v="0"/>
    <x v="4"/>
  </r>
  <r>
    <x v="253"/>
    <x v="0"/>
    <x v="7"/>
    <x v="6"/>
    <x v="57"/>
    <x v="0"/>
    <x v="4"/>
    <x v="46"/>
    <d v="2024-04-14T00:00:00"/>
    <n v="0"/>
    <x v="0"/>
    <x v="3"/>
    <n v="0"/>
    <x v="0"/>
    <x v="3"/>
  </r>
  <r>
    <x v="254"/>
    <x v="3"/>
    <x v="6"/>
    <x v="3"/>
    <x v="58"/>
    <x v="1"/>
    <x v="5"/>
    <x v="47"/>
    <d v="2024-04-07T00:00:00"/>
    <n v="0"/>
    <x v="0"/>
    <x v="3"/>
    <n v="0"/>
    <x v="0"/>
    <x v="3"/>
  </r>
  <r>
    <x v="255"/>
    <x v="1"/>
    <x v="10"/>
    <x v="1"/>
    <x v="59"/>
    <x v="2"/>
    <x v="4"/>
    <x v="48"/>
    <d v="2024-05-04T00:00:00"/>
    <n v="0"/>
    <x v="0"/>
    <x v="4"/>
    <n v="0"/>
    <x v="0"/>
    <x v="4"/>
  </r>
  <r>
    <x v="256"/>
    <x v="0"/>
    <x v="0"/>
    <x v="2"/>
    <x v="60"/>
    <x v="0"/>
    <x v="4"/>
    <x v="0"/>
    <d v="2024-02-20T00:00:00"/>
    <n v="0"/>
    <x v="0"/>
    <x v="0"/>
    <n v="0"/>
    <x v="0"/>
    <x v="0"/>
  </r>
  <r>
    <x v="257"/>
    <x v="2"/>
    <x v="5"/>
    <x v="3"/>
    <x v="61"/>
    <x v="2"/>
    <x v="2"/>
    <x v="25"/>
    <d v="2024-05-18T00:00:00"/>
    <n v="0"/>
    <x v="0"/>
    <x v="4"/>
    <n v="0"/>
    <x v="0"/>
    <x v="4"/>
  </r>
  <r>
    <x v="258"/>
    <x v="0"/>
    <x v="7"/>
    <x v="5"/>
    <x v="62"/>
    <x v="1"/>
    <x v="5"/>
    <x v="42"/>
    <d v="2024-04-08T00:00:00"/>
    <n v="0"/>
    <x v="0"/>
    <x v="3"/>
    <n v="0"/>
    <x v="0"/>
    <x v="3"/>
  </r>
  <r>
    <x v="259"/>
    <x v="0"/>
    <x v="8"/>
    <x v="7"/>
    <x v="63"/>
    <x v="1"/>
    <x v="4"/>
    <x v="49"/>
    <d v="2024-03-01T00:00:00"/>
    <n v="0"/>
    <x v="0"/>
    <x v="5"/>
    <n v="0"/>
    <x v="0"/>
    <x v="5"/>
  </r>
  <r>
    <x v="260"/>
    <x v="2"/>
    <x v="5"/>
    <x v="3"/>
    <x v="64"/>
    <x v="2"/>
    <x v="0"/>
    <x v="50"/>
    <d v="2024-05-09T00:00:00"/>
    <n v="0"/>
    <x v="0"/>
    <x v="4"/>
    <n v="0"/>
    <x v="0"/>
    <x v="4"/>
  </r>
  <r>
    <x v="261"/>
    <x v="2"/>
    <x v="14"/>
    <x v="2"/>
    <x v="65"/>
    <x v="2"/>
    <x v="0"/>
    <x v="51"/>
    <d v="2024-01-18T00:00:00"/>
    <n v="0"/>
    <x v="0"/>
    <x v="2"/>
    <n v="0"/>
    <x v="0"/>
    <x v="2"/>
  </r>
  <r>
    <x v="262"/>
    <x v="0"/>
    <x v="7"/>
    <x v="4"/>
    <x v="66"/>
    <x v="0"/>
    <x v="0"/>
    <x v="39"/>
    <d v="2024-05-27T00:00:00"/>
    <n v="0"/>
    <x v="0"/>
    <x v="4"/>
    <n v="0"/>
    <x v="0"/>
    <x v="4"/>
  </r>
  <r>
    <x v="263"/>
    <x v="2"/>
    <x v="2"/>
    <x v="1"/>
    <x v="67"/>
    <x v="1"/>
    <x v="1"/>
    <x v="52"/>
    <d v="2024-04-24T00:00:00"/>
    <n v="0"/>
    <x v="0"/>
    <x v="3"/>
    <n v="0"/>
    <x v="0"/>
    <x v="3"/>
  </r>
  <r>
    <x v="264"/>
    <x v="0"/>
    <x v="0"/>
    <x v="4"/>
    <x v="68"/>
    <x v="1"/>
    <x v="2"/>
    <x v="53"/>
    <d v="2024-01-03T00:00:00"/>
    <n v="0"/>
    <x v="0"/>
    <x v="2"/>
    <n v="0"/>
    <x v="0"/>
    <x v="2"/>
  </r>
  <r>
    <x v="265"/>
    <x v="2"/>
    <x v="14"/>
    <x v="0"/>
    <x v="69"/>
    <x v="0"/>
    <x v="3"/>
    <x v="54"/>
    <d v="2024-04-26T00:00:00"/>
    <n v="0"/>
    <x v="0"/>
    <x v="3"/>
    <n v="0"/>
    <x v="0"/>
    <x v="3"/>
  </r>
  <r>
    <x v="266"/>
    <x v="1"/>
    <x v="11"/>
    <x v="1"/>
    <x v="70"/>
    <x v="2"/>
    <x v="1"/>
    <x v="32"/>
    <d v="2024-02-23T00:00:00"/>
    <n v="0"/>
    <x v="0"/>
    <x v="0"/>
    <n v="0"/>
    <x v="0"/>
    <x v="0"/>
  </r>
  <r>
    <x v="267"/>
    <x v="2"/>
    <x v="14"/>
    <x v="1"/>
    <x v="71"/>
    <x v="0"/>
    <x v="2"/>
    <x v="34"/>
    <d v="2024-04-15T00:00:00"/>
    <n v="0"/>
    <x v="0"/>
    <x v="3"/>
    <n v="0"/>
    <x v="0"/>
    <x v="3"/>
  </r>
  <r>
    <x v="268"/>
    <x v="1"/>
    <x v="10"/>
    <x v="6"/>
    <x v="72"/>
    <x v="0"/>
    <x v="3"/>
    <x v="55"/>
    <d v="2024-04-04T00:00:00"/>
    <n v="0"/>
    <x v="0"/>
    <x v="3"/>
    <n v="0"/>
    <x v="0"/>
    <x v="3"/>
  </r>
  <r>
    <x v="269"/>
    <x v="1"/>
    <x v="11"/>
    <x v="0"/>
    <x v="73"/>
    <x v="1"/>
    <x v="3"/>
    <x v="10"/>
    <d v="2024-05-25T00:00:00"/>
    <n v="0"/>
    <x v="0"/>
    <x v="4"/>
    <n v="0"/>
    <x v="0"/>
    <x v="4"/>
  </r>
  <r>
    <x v="270"/>
    <x v="1"/>
    <x v="11"/>
    <x v="1"/>
    <x v="74"/>
    <x v="1"/>
    <x v="3"/>
    <x v="56"/>
    <d v="2024-04-06T00:00:00"/>
    <n v="0"/>
    <x v="0"/>
    <x v="3"/>
    <n v="0"/>
    <x v="0"/>
    <x v="3"/>
  </r>
  <r>
    <x v="271"/>
    <x v="0"/>
    <x v="7"/>
    <x v="6"/>
    <x v="75"/>
    <x v="1"/>
    <x v="1"/>
    <x v="57"/>
    <d v="2024-03-20T00:00:00"/>
    <n v="0"/>
    <x v="0"/>
    <x v="5"/>
    <n v="0"/>
    <x v="0"/>
    <x v="5"/>
  </r>
  <r>
    <x v="272"/>
    <x v="1"/>
    <x v="10"/>
    <x v="1"/>
    <x v="76"/>
    <x v="1"/>
    <x v="2"/>
    <x v="58"/>
    <d v="2024-03-09T00:00:00"/>
    <n v="0"/>
    <x v="0"/>
    <x v="5"/>
    <n v="0"/>
    <x v="0"/>
    <x v="5"/>
  </r>
  <r>
    <x v="273"/>
    <x v="0"/>
    <x v="8"/>
    <x v="2"/>
    <x v="77"/>
    <x v="0"/>
    <x v="3"/>
    <x v="36"/>
    <d v="2024-05-22T00:00:00"/>
    <n v="0"/>
    <x v="0"/>
    <x v="4"/>
    <n v="0"/>
    <x v="0"/>
    <x v="4"/>
  </r>
  <r>
    <x v="274"/>
    <x v="2"/>
    <x v="2"/>
    <x v="6"/>
    <x v="78"/>
    <x v="0"/>
    <x v="2"/>
    <x v="48"/>
    <d v="2024-05-04T00:00:00"/>
    <n v="0"/>
    <x v="0"/>
    <x v="4"/>
    <n v="0"/>
    <x v="0"/>
    <x v="4"/>
  </r>
  <r>
    <x v="275"/>
    <x v="4"/>
    <x v="12"/>
    <x v="6"/>
    <x v="79"/>
    <x v="2"/>
    <x v="4"/>
    <x v="59"/>
    <d v="2024-02-14T00:00:00"/>
    <n v="0"/>
    <x v="0"/>
    <x v="0"/>
    <n v="0"/>
    <x v="0"/>
    <x v="0"/>
  </r>
  <r>
    <x v="276"/>
    <x v="2"/>
    <x v="14"/>
    <x v="4"/>
    <x v="80"/>
    <x v="0"/>
    <x v="3"/>
    <x v="60"/>
    <d v="2024-03-05T00:00:00"/>
    <n v="0"/>
    <x v="0"/>
    <x v="5"/>
    <n v="0"/>
    <x v="0"/>
    <x v="5"/>
  </r>
  <r>
    <x v="277"/>
    <x v="0"/>
    <x v="0"/>
    <x v="3"/>
    <x v="81"/>
    <x v="0"/>
    <x v="2"/>
    <x v="61"/>
    <d v="2024-04-27T00:00:00"/>
    <n v="0"/>
    <x v="0"/>
    <x v="3"/>
    <n v="0"/>
    <x v="0"/>
    <x v="3"/>
  </r>
  <r>
    <x v="278"/>
    <x v="3"/>
    <x v="3"/>
    <x v="7"/>
    <x v="82"/>
    <x v="2"/>
    <x v="0"/>
    <x v="46"/>
    <d v="2024-04-14T00:00:00"/>
    <n v="0"/>
    <x v="0"/>
    <x v="3"/>
    <n v="0"/>
    <x v="0"/>
    <x v="3"/>
  </r>
  <r>
    <x v="279"/>
    <x v="3"/>
    <x v="3"/>
    <x v="5"/>
    <x v="83"/>
    <x v="0"/>
    <x v="4"/>
    <x v="62"/>
    <d v="2024-02-17T00:00:00"/>
    <n v="0"/>
    <x v="0"/>
    <x v="0"/>
    <n v="0"/>
    <x v="0"/>
    <x v="0"/>
  </r>
  <r>
    <x v="280"/>
    <x v="2"/>
    <x v="5"/>
    <x v="4"/>
    <x v="84"/>
    <x v="0"/>
    <x v="2"/>
    <x v="21"/>
    <d v="2024-03-26T00:00:00"/>
    <n v="0"/>
    <x v="0"/>
    <x v="5"/>
    <n v="0"/>
    <x v="0"/>
    <x v="5"/>
  </r>
  <r>
    <x v="281"/>
    <x v="0"/>
    <x v="8"/>
    <x v="3"/>
    <x v="85"/>
    <x v="1"/>
    <x v="0"/>
    <x v="63"/>
    <d v="2024-05-26T00:00:00"/>
    <n v="0"/>
    <x v="0"/>
    <x v="4"/>
    <n v="0"/>
    <x v="0"/>
    <x v="4"/>
  </r>
  <r>
    <x v="282"/>
    <x v="2"/>
    <x v="14"/>
    <x v="3"/>
    <x v="86"/>
    <x v="1"/>
    <x v="1"/>
    <x v="61"/>
    <d v="2024-04-27T00:00:00"/>
    <n v="0"/>
    <x v="0"/>
    <x v="3"/>
    <n v="0"/>
    <x v="0"/>
    <x v="3"/>
  </r>
  <r>
    <x v="283"/>
    <x v="3"/>
    <x v="9"/>
    <x v="7"/>
    <x v="87"/>
    <x v="2"/>
    <x v="4"/>
    <x v="50"/>
    <d v="2024-05-09T00:00:00"/>
    <n v="0"/>
    <x v="0"/>
    <x v="4"/>
    <n v="0"/>
    <x v="0"/>
    <x v="4"/>
  </r>
  <r>
    <x v="284"/>
    <x v="0"/>
    <x v="0"/>
    <x v="6"/>
    <x v="88"/>
    <x v="1"/>
    <x v="3"/>
    <x v="29"/>
    <d v="2024-03-07T00:00:00"/>
    <n v="0"/>
    <x v="0"/>
    <x v="5"/>
    <n v="0"/>
    <x v="0"/>
    <x v="5"/>
  </r>
  <r>
    <x v="285"/>
    <x v="0"/>
    <x v="8"/>
    <x v="6"/>
    <x v="89"/>
    <x v="0"/>
    <x v="3"/>
    <x v="64"/>
    <d v="2024-04-19T00:00:00"/>
    <n v="0"/>
    <x v="0"/>
    <x v="3"/>
    <n v="0"/>
    <x v="0"/>
    <x v="3"/>
  </r>
  <r>
    <x v="286"/>
    <x v="4"/>
    <x v="4"/>
    <x v="7"/>
    <x v="90"/>
    <x v="1"/>
    <x v="5"/>
    <x v="65"/>
    <d v="2024-01-29T00:00:00"/>
    <n v="0"/>
    <x v="0"/>
    <x v="2"/>
    <n v="0"/>
    <x v="0"/>
    <x v="2"/>
  </r>
  <r>
    <x v="287"/>
    <x v="0"/>
    <x v="0"/>
    <x v="4"/>
    <x v="91"/>
    <x v="1"/>
    <x v="4"/>
    <x v="66"/>
    <d v="2024-03-15T00:00:00"/>
    <n v="0"/>
    <x v="0"/>
    <x v="5"/>
    <n v="0"/>
    <x v="0"/>
    <x v="5"/>
  </r>
  <r>
    <x v="288"/>
    <x v="2"/>
    <x v="14"/>
    <x v="3"/>
    <x v="92"/>
    <x v="2"/>
    <x v="5"/>
    <x v="40"/>
    <d v="2024-03-21T00:00:00"/>
    <n v="0"/>
    <x v="0"/>
    <x v="5"/>
    <n v="0"/>
    <x v="0"/>
    <x v="5"/>
  </r>
  <r>
    <x v="289"/>
    <x v="1"/>
    <x v="1"/>
    <x v="6"/>
    <x v="93"/>
    <x v="2"/>
    <x v="1"/>
    <x v="31"/>
    <d v="2024-05-02T00:00:00"/>
    <n v="0"/>
    <x v="0"/>
    <x v="4"/>
    <n v="0"/>
    <x v="0"/>
    <x v="4"/>
  </r>
  <r>
    <x v="290"/>
    <x v="3"/>
    <x v="6"/>
    <x v="5"/>
    <x v="94"/>
    <x v="1"/>
    <x v="2"/>
    <x v="19"/>
    <d v="2024-01-10T00:00:00"/>
    <n v="0"/>
    <x v="0"/>
    <x v="2"/>
    <n v="0"/>
    <x v="0"/>
    <x v="2"/>
  </r>
  <r>
    <x v="291"/>
    <x v="0"/>
    <x v="0"/>
    <x v="1"/>
    <x v="95"/>
    <x v="0"/>
    <x v="0"/>
    <x v="67"/>
    <d v="2024-04-17T00:00:00"/>
    <n v="0"/>
    <x v="0"/>
    <x v="3"/>
    <n v="0"/>
    <x v="0"/>
    <x v="3"/>
  </r>
  <r>
    <x v="292"/>
    <x v="1"/>
    <x v="1"/>
    <x v="2"/>
    <x v="96"/>
    <x v="1"/>
    <x v="4"/>
    <x v="68"/>
    <d v="2024-03-22T00:00:00"/>
    <n v="0"/>
    <x v="0"/>
    <x v="5"/>
    <n v="0"/>
    <x v="0"/>
    <x v="5"/>
  </r>
  <r>
    <x v="293"/>
    <x v="2"/>
    <x v="2"/>
    <x v="6"/>
    <x v="97"/>
    <x v="2"/>
    <x v="0"/>
    <x v="60"/>
    <d v="2024-03-05T00:00:00"/>
    <n v="0"/>
    <x v="0"/>
    <x v="5"/>
    <n v="0"/>
    <x v="0"/>
    <x v="5"/>
  </r>
  <r>
    <x v="294"/>
    <x v="1"/>
    <x v="11"/>
    <x v="4"/>
    <x v="98"/>
    <x v="1"/>
    <x v="2"/>
    <x v="37"/>
    <d v="2024-01-30T00:00:00"/>
    <n v="0"/>
    <x v="0"/>
    <x v="2"/>
    <n v="0"/>
    <x v="0"/>
    <x v="2"/>
  </r>
  <r>
    <x v="295"/>
    <x v="4"/>
    <x v="12"/>
    <x v="3"/>
    <x v="99"/>
    <x v="2"/>
    <x v="5"/>
    <x v="69"/>
    <d v="2024-01-12T00:00:00"/>
    <n v="0"/>
    <x v="0"/>
    <x v="2"/>
    <n v="0"/>
    <x v="0"/>
    <x v="2"/>
  </r>
  <r>
    <x v="296"/>
    <x v="4"/>
    <x v="13"/>
    <x v="6"/>
    <x v="100"/>
    <x v="1"/>
    <x v="4"/>
    <x v="70"/>
    <d v="2024-05-21T00:00:00"/>
    <n v="0"/>
    <x v="0"/>
    <x v="4"/>
    <n v="0"/>
    <x v="0"/>
    <x v="4"/>
  </r>
  <r>
    <x v="297"/>
    <x v="2"/>
    <x v="5"/>
    <x v="6"/>
    <x v="101"/>
    <x v="2"/>
    <x v="1"/>
    <x v="71"/>
    <d v="2024-05-03T00:00:00"/>
    <n v="0"/>
    <x v="0"/>
    <x v="4"/>
    <n v="0"/>
    <x v="0"/>
    <x v="4"/>
  </r>
  <r>
    <x v="298"/>
    <x v="4"/>
    <x v="13"/>
    <x v="2"/>
    <x v="102"/>
    <x v="2"/>
    <x v="5"/>
    <x v="50"/>
    <d v="2024-05-09T00:00:00"/>
    <n v="0"/>
    <x v="0"/>
    <x v="4"/>
    <n v="0"/>
    <x v="0"/>
    <x v="4"/>
  </r>
  <r>
    <x v="299"/>
    <x v="4"/>
    <x v="4"/>
    <x v="7"/>
    <x v="103"/>
    <x v="1"/>
    <x v="5"/>
    <x v="115"/>
    <d v="2024-06-18T00:00:00"/>
    <n v="0"/>
    <x v="0"/>
    <x v="1"/>
    <n v="0"/>
    <x v="0"/>
    <x v="1"/>
  </r>
  <r>
    <x v="300"/>
    <x v="2"/>
    <x v="5"/>
    <x v="7"/>
    <x v="104"/>
    <x v="0"/>
    <x v="3"/>
    <x v="72"/>
    <d v="2024-04-30T00:00:00"/>
    <n v="0"/>
    <x v="0"/>
    <x v="3"/>
    <n v="0"/>
    <x v="0"/>
    <x v="3"/>
  </r>
  <r>
    <x v="301"/>
    <x v="4"/>
    <x v="13"/>
    <x v="3"/>
    <x v="105"/>
    <x v="1"/>
    <x v="2"/>
    <x v="73"/>
    <d v="2024-04-09T00:00:00"/>
    <n v="0"/>
    <x v="0"/>
    <x v="3"/>
    <n v="0"/>
    <x v="0"/>
    <x v="3"/>
  </r>
  <r>
    <x v="302"/>
    <x v="3"/>
    <x v="9"/>
    <x v="1"/>
    <x v="106"/>
    <x v="2"/>
    <x v="3"/>
    <x v="54"/>
    <d v="2024-04-26T00:00:00"/>
    <n v="0"/>
    <x v="0"/>
    <x v="3"/>
    <n v="0"/>
    <x v="0"/>
    <x v="3"/>
  </r>
  <r>
    <x v="303"/>
    <x v="2"/>
    <x v="5"/>
    <x v="2"/>
    <x v="107"/>
    <x v="2"/>
    <x v="4"/>
    <x v="60"/>
    <d v="2024-03-06T00:00:00"/>
    <n v="1"/>
    <x v="1"/>
    <x v="5"/>
    <n v="1"/>
    <x v="1"/>
    <x v="5"/>
  </r>
  <r>
    <x v="304"/>
    <x v="2"/>
    <x v="2"/>
    <x v="3"/>
    <x v="108"/>
    <x v="2"/>
    <x v="2"/>
    <x v="25"/>
    <d v="2024-05-18T00:00:00"/>
    <n v="0"/>
    <x v="0"/>
    <x v="4"/>
    <n v="0"/>
    <x v="0"/>
    <x v="4"/>
  </r>
  <r>
    <x v="305"/>
    <x v="0"/>
    <x v="8"/>
    <x v="5"/>
    <x v="109"/>
    <x v="0"/>
    <x v="5"/>
    <x v="58"/>
    <d v="2024-03-09T00:00:00"/>
    <n v="0"/>
    <x v="0"/>
    <x v="5"/>
    <n v="0"/>
    <x v="0"/>
    <x v="5"/>
  </r>
  <r>
    <x v="306"/>
    <x v="4"/>
    <x v="12"/>
    <x v="0"/>
    <x v="110"/>
    <x v="2"/>
    <x v="3"/>
    <x v="74"/>
    <d v="2024-01-27T00:00:00"/>
    <n v="0"/>
    <x v="0"/>
    <x v="2"/>
    <n v="0"/>
    <x v="0"/>
    <x v="2"/>
  </r>
  <r>
    <x v="307"/>
    <x v="2"/>
    <x v="14"/>
    <x v="3"/>
    <x v="111"/>
    <x v="1"/>
    <x v="4"/>
    <x v="75"/>
    <d v="2024-01-22T00:00:00"/>
    <n v="0"/>
    <x v="0"/>
    <x v="2"/>
    <n v="0"/>
    <x v="0"/>
    <x v="2"/>
  </r>
  <r>
    <x v="308"/>
    <x v="1"/>
    <x v="11"/>
    <x v="3"/>
    <x v="112"/>
    <x v="1"/>
    <x v="4"/>
    <x v="76"/>
    <d v="2024-03-28T00:00:00"/>
    <n v="1"/>
    <x v="1"/>
    <x v="5"/>
    <n v="1"/>
    <x v="1"/>
    <x v="5"/>
  </r>
  <r>
    <x v="309"/>
    <x v="3"/>
    <x v="3"/>
    <x v="3"/>
    <x v="113"/>
    <x v="0"/>
    <x v="1"/>
    <x v="77"/>
    <d v="2024-03-14T00:00:00"/>
    <n v="0"/>
    <x v="0"/>
    <x v="5"/>
    <n v="0"/>
    <x v="0"/>
    <x v="5"/>
  </r>
  <r>
    <x v="310"/>
    <x v="0"/>
    <x v="7"/>
    <x v="4"/>
    <x v="114"/>
    <x v="0"/>
    <x v="4"/>
    <x v="78"/>
    <d v="2024-04-11T00:00:00"/>
    <n v="0"/>
    <x v="0"/>
    <x v="3"/>
    <n v="0"/>
    <x v="0"/>
    <x v="3"/>
  </r>
  <r>
    <x v="311"/>
    <x v="2"/>
    <x v="2"/>
    <x v="4"/>
    <x v="115"/>
    <x v="1"/>
    <x v="1"/>
    <x v="79"/>
    <d v="2024-05-20T00:00:00"/>
    <n v="0"/>
    <x v="0"/>
    <x v="4"/>
    <n v="0"/>
    <x v="0"/>
    <x v="4"/>
  </r>
  <r>
    <x v="312"/>
    <x v="2"/>
    <x v="14"/>
    <x v="5"/>
    <x v="116"/>
    <x v="2"/>
    <x v="5"/>
    <x v="14"/>
    <d v="2024-01-05T00:00:00"/>
    <n v="0"/>
    <x v="0"/>
    <x v="2"/>
    <n v="0"/>
    <x v="0"/>
    <x v="2"/>
  </r>
  <r>
    <x v="313"/>
    <x v="1"/>
    <x v="10"/>
    <x v="7"/>
    <x v="117"/>
    <x v="2"/>
    <x v="5"/>
    <x v="55"/>
    <d v="2024-04-04T00:00:00"/>
    <n v="0"/>
    <x v="0"/>
    <x v="3"/>
    <n v="0"/>
    <x v="0"/>
    <x v="3"/>
  </r>
  <r>
    <x v="314"/>
    <x v="4"/>
    <x v="13"/>
    <x v="5"/>
    <x v="118"/>
    <x v="1"/>
    <x v="0"/>
    <x v="52"/>
    <d v="2024-04-24T00:00:00"/>
    <n v="0"/>
    <x v="0"/>
    <x v="3"/>
    <n v="0"/>
    <x v="0"/>
    <x v="3"/>
  </r>
  <r>
    <x v="315"/>
    <x v="1"/>
    <x v="1"/>
    <x v="4"/>
    <x v="119"/>
    <x v="0"/>
    <x v="5"/>
    <x v="5"/>
    <d v="2024-02-16T00:00:00"/>
    <n v="0"/>
    <x v="0"/>
    <x v="0"/>
    <n v="0"/>
    <x v="0"/>
    <x v="0"/>
  </r>
  <r>
    <x v="316"/>
    <x v="0"/>
    <x v="0"/>
    <x v="1"/>
    <x v="120"/>
    <x v="1"/>
    <x v="1"/>
    <x v="80"/>
    <d v="2024-04-21T00:00:00"/>
    <n v="0"/>
    <x v="0"/>
    <x v="3"/>
    <n v="0"/>
    <x v="0"/>
    <x v="3"/>
  </r>
  <r>
    <x v="317"/>
    <x v="1"/>
    <x v="10"/>
    <x v="1"/>
    <x v="121"/>
    <x v="1"/>
    <x v="3"/>
    <x v="81"/>
    <d v="2024-06-07T00:00:00"/>
    <n v="0"/>
    <x v="0"/>
    <x v="1"/>
    <n v="0"/>
    <x v="0"/>
    <x v="1"/>
  </r>
  <r>
    <x v="318"/>
    <x v="3"/>
    <x v="3"/>
    <x v="5"/>
    <x v="122"/>
    <x v="2"/>
    <x v="5"/>
    <x v="82"/>
    <d v="2024-01-08T00:00:00"/>
    <n v="0"/>
    <x v="0"/>
    <x v="2"/>
    <n v="0"/>
    <x v="0"/>
    <x v="2"/>
  </r>
  <r>
    <x v="319"/>
    <x v="3"/>
    <x v="6"/>
    <x v="7"/>
    <x v="123"/>
    <x v="0"/>
    <x v="5"/>
    <x v="79"/>
    <d v="2024-05-20T00:00:00"/>
    <n v="0"/>
    <x v="0"/>
    <x v="4"/>
    <n v="0"/>
    <x v="0"/>
    <x v="4"/>
  </r>
  <r>
    <x v="320"/>
    <x v="2"/>
    <x v="2"/>
    <x v="6"/>
    <x v="124"/>
    <x v="1"/>
    <x v="0"/>
    <x v="16"/>
    <d v="2024-04-23T00:00:00"/>
    <n v="0"/>
    <x v="0"/>
    <x v="3"/>
    <n v="0"/>
    <x v="0"/>
    <x v="3"/>
  </r>
  <r>
    <x v="321"/>
    <x v="4"/>
    <x v="4"/>
    <x v="0"/>
    <x v="125"/>
    <x v="1"/>
    <x v="3"/>
    <x v="26"/>
    <d v="2024-02-08T00:00:00"/>
    <n v="0"/>
    <x v="0"/>
    <x v="0"/>
    <n v="0"/>
    <x v="0"/>
    <x v="0"/>
  </r>
  <r>
    <x v="322"/>
    <x v="2"/>
    <x v="2"/>
    <x v="3"/>
    <x v="126"/>
    <x v="1"/>
    <x v="4"/>
    <x v="31"/>
    <d v="2024-05-02T00:00:00"/>
    <n v="0"/>
    <x v="0"/>
    <x v="4"/>
    <n v="0"/>
    <x v="0"/>
    <x v="4"/>
  </r>
  <r>
    <x v="323"/>
    <x v="0"/>
    <x v="7"/>
    <x v="6"/>
    <x v="127"/>
    <x v="2"/>
    <x v="3"/>
    <x v="67"/>
    <d v="2024-04-17T00:00:00"/>
    <n v="0"/>
    <x v="0"/>
    <x v="3"/>
    <n v="0"/>
    <x v="0"/>
    <x v="3"/>
  </r>
  <r>
    <x v="324"/>
    <x v="2"/>
    <x v="5"/>
    <x v="4"/>
    <x v="128"/>
    <x v="0"/>
    <x v="0"/>
    <x v="4"/>
    <d v="2024-01-13T00:00:00"/>
    <n v="0"/>
    <x v="0"/>
    <x v="2"/>
    <n v="0"/>
    <x v="0"/>
    <x v="2"/>
  </r>
  <r>
    <x v="325"/>
    <x v="1"/>
    <x v="1"/>
    <x v="3"/>
    <x v="129"/>
    <x v="0"/>
    <x v="2"/>
    <x v="83"/>
    <d v="2024-01-15T00:00:00"/>
    <n v="1"/>
    <x v="1"/>
    <x v="2"/>
    <n v="1"/>
    <x v="1"/>
    <x v="2"/>
  </r>
  <r>
    <x v="326"/>
    <x v="0"/>
    <x v="7"/>
    <x v="3"/>
    <x v="130"/>
    <x v="0"/>
    <x v="5"/>
    <x v="84"/>
    <d v="2024-02-15T00:00:00"/>
    <n v="0"/>
    <x v="0"/>
    <x v="0"/>
    <n v="0"/>
    <x v="0"/>
    <x v="0"/>
  </r>
  <r>
    <x v="327"/>
    <x v="2"/>
    <x v="14"/>
    <x v="0"/>
    <x v="131"/>
    <x v="1"/>
    <x v="2"/>
    <x v="85"/>
    <d v="2024-01-11T00:00:00"/>
    <n v="0"/>
    <x v="0"/>
    <x v="2"/>
    <n v="0"/>
    <x v="0"/>
    <x v="2"/>
  </r>
  <r>
    <x v="328"/>
    <x v="3"/>
    <x v="9"/>
    <x v="3"/>
    <x v="132"/>
    <x v="2"/>
    <x v="5"/>
    <x v="86"/>
    <d v="2024-03-30T00:00:00"/>
    <n v="0"/>
    <x v="0"/>
    <x v="5"/>
    <n v="0"/>
    <x v="0"/>
    <x v="5"/>
  </r>
  <r>
    <x v="329"/>
    <x v="0"/>
    <x v="0"/>
    <x v="7"/>
    <x v="133"/>
    <x v="0"/>
    <x v="4"/>
    <x v="87"/>
    <d v="2024-01-16T00:00:00"/>
    <n v="1"/>
    <x v="1"/>
    <x v="2"/>
    <n v="1"/>
    <x v="1"/>
    <x v="2"/>
  </r>
  <r>
    <x v="330"/>
    <x v="0"/>
    <x v="8"/>
    <x v="3"/>
    <x v="134"/>
    <x v="0"/>
    <x v="3"/>
    <x v="55"/>
    <d v="2024-04-04T00:00:00"/>
    <n v="0"/>
    <x v="0"/>
    <x v="3"/>
    <n v="0"/>
    <x v="0"/>
    <x v="3"/>
  </r>
  <r>
    <x v="331"/>
    <x v="0"/>
    <x v="0"/>
    <x v="2"/>
    <x v="135"/>
    <x v="1"/>
    <x v="0"/>
    <x v="88"/>
    <d v="2024-02-11T00:00:00"/>
    <n v="0"/>
    <x v="0"/>
    <x v="0"/>
    <n v="0"/>
    <x v="0"/>
    <x v="0"/>
  </r>
  <r>
    <x v="332"/>
    <x v="1"/>
    <x v="11"/>
    <x v="3"/>
    <x v="136"/>
    <x v="1"/>
    <x v="5"/>
    <x v="89"/>
    <d v="2024-03-02T00:00:00"/>
    <n v="0"/>
    <x v="0"/>
    <x v="5"/>
    <n v="0"/>
    <x v="0"/>
    <x v="5"/>
  </r>
  <r>
    <x v="333"/>
    <x v="4"/>
    <x v="13"/>
    <x v="3"/>
    <x v="137"/>
    <x v="1"/>
    <x v="5"/>
    <x v="116"/>
    <d v="2024-06-24T00:00:00"/>
    <n v="0"/>
    <x v="0"/>
    <x v="1"/>
    <n v="0"/>
    <x v="0"/>
    <x v="1"/>
  </r>
  <r>
    <x v="334"/>
    <x v="0"/>
    <x v="8"/>
    <x v="3"/>
    <x v="138"/>
    <x v="2"/>
    <x v="3"/>
    <x v="49"/>
    <d v="2024-03-01T00:00:00"/>
    <n v="0"/>
    <x v="0"/>
    <x v="5"/>
    <n v="0"/>
    <x v="0"/>
    <x v="5"/>
  </r>
  <r>
    <x v="335"/>
    <x v="1"/>
    <x v="10"/>
    <x v="7"/>
    <x v="139"/>
    <x v="0"/>
    <x v="5"/>
    <x v="62"/>
    <d v="2024-02-17T00:00:00"/>
    <n v="0"/>
    <x v="0"/>
    <x v="0"/>
    <n v="0"/>
    <x v="0"/>
    <x v="0"/>
  </r>
  <r>
    <x v="336"/>
    <x v="0"/>
    <x v="0"/>
    <x v="3"/>
    <x v="140"/>
    <x v="2"/>
    <x v="4"/>
    <x v="4"/>
    <d v="2024-01-14T00:00:00"/>
    <n v="1"/>
    <x v="1"/>
    <x v="2"/>
    <n v="1"/>
    <x v="1"/>
    <x v="2"/>
  </r>
  <r>
    <x v="337"/>
    <x v="1"/>
    <x v="1"/>
    <x v="0"/>
    <x v="141"/>
    <x v="1"/>
    <x v="2"/>
    <x v="76"/>
    <d v="2024-03-27T00:00:00"/>
    <n v="0"/>
    <x v="0"/>
    <x v="5"/>
    <n v="0"/>
    <x v="0"/>
    <x v="5"/>
  </r>
  <r>
    <x v="338"/>
    <x v="3"/>
    <x v="3"/>
    <x v="7"/>
    <x v="142"/>
    <x v="1"/>
    <x v="5"/>
    <x v="58"/>
    <d v="2024-03-09T00:00:00"/>
    <n v="0"/>
    <x v="0"/>
    <x v="5"/>
    <n v="0"/>
    <x v="0"/>
    <x v="5"/>
  </r>
  <r>
    <x v="339"/>
    <x v="1"/>
    <x v="10"/>
    <x v="0"/>
    <x v="143"/>
    <x v="2"/>
    <x v="1"/>
    <x v="16"/>
    <d v="2024-04-23T00:00:00"/>
    <n v="0"/>
    <x v="0"/>
    <x v="3"/>
    <n v="0"/>
    <x v="0"/>
    <x v="3"/>
  </r>
  <r>
    <x v="340"/>
    <x v="2"/>
    <x v="14"/>
    <x v="5"/>
    <x v="144"/>
    <x v="0"/>
    <x v="0"/>
    <x v="78"/>
    <d v="2024-04-11T00:00:00"/>
    <n v="0"/>
    <x v="0"/>
    <x v="3"/>
    <n v="0"/>
    <x v="0"/>
    <x v="3"/>
  </r>
  <r>
    <x v="341"/>
    <x v="1"/>
    <x v="10"/>
    <x v="5"/>
    <x v="197"/>
    <x v="1"/>
    <x v="4"/>
    <x v="4"/>
    <d v="2024-01-13T00:00:00"/>
    <n v="0"/>
    <x v="0"/>
    <x v="2"/>
    <n v="0"/>
    <x v="0"/>
    <x v="2"/>
  </r>
  <r>
    <x v="342"/>
    <x v="1"/>
    <x v="10"/>
    <x v="6"/>
    <x v="145"/>
    <x v="2"/>
    <x v="2"/>
    <x v="91"/>
    <d v="2024-03-24T00:00:00"/>
    <n v="0"/>
    <x v="0"/>
    <x v="5"/>
    <n v="0"/>
    <x v="0"/>
    <x v="5"/>
  </r>
  <r>
    <x v="343"/>
    <x v="0"/>
    <x v="8"/>
    <x v="7"/>
    <x v="146"/>
    <x v="0"/>
    <x v="5"/>
    <x v="24"/>
    <d v="2024-01-24T00:00:00"/>
    <n v="0"/>
    <x v="0"/>
    <x v="2"/>
    <n v="0"/>
    <x v="0"/>
    <x v="2"/>
  </r>
  <r>
    <x v="344"/>
    <x v="3"/>
    <x v="9"/>
    <x v="2"/>
    <x v="147"/>
    <x v="2"/>
    <x v="1"/>
    <x v="67"/>
    <d v="2024-04-17T00:00:00"/>
    <n v="0"/>
    <x v="0"/>
    <x v="3"/>
    <n v="0"/>
    <x v="0"/>
    <x v="3"/>
  </r>
  <r>
    <x v="345"/>
    <x v="3"/>
    <x v="9"/>
    <x v="3"/>
    <x v="148"/>
    <x v="2"/>
    <x v="5"/>
    <x v="92"/>
    <d v="2024-05-13T00:00:00"/>
    <n v="0"/>
    <x v="0"/>
    <x v="4"/>
    <n v="0"/>
    <x v="0"/>
    <x v="4"/>
  </r>
  <r>
    <x v="346"/>
    <x v="4"/>
    <x v="4"/>
    <x v="5"/>
    <x v="149"/>
    <x v="1"/>
    <x v="4"/>
    <x v="16"/>
    <d v="2024-04-23T00:00:00"/>
    <n v="0"/>
    <x v="0"/>
    <x v="3"/>
    <n v="0"/>
    <x v="0"/>
    <x v="3"/>
  </r>
  <r>
    <x v="347"/>
    <x v="0"/>
    <x v="0"/>
    <x v="0"/>
    <x v="150"/>
    <x v="2"/>
    <x v="5"/>
    <x v="88"/>
    <d v="2024-02-11T00:00:00"/>
    <n v="0"/>
    <x v="0"/>
    <x v="0"/>
    <n v="0"/>
    <x v="0"/>
    <x v="0"/>
  </r>
  <r>
    <x v="348"/>
    <x v="3"/>
    <x v="3"/>
    <x v="7"/>
    <x v="151"/>
    <x v="0"/>
    <x v="0"/>
    <x v="93"/>
    <d v="2024-03-28T00:00:00"/>
    <n v="0"/>
    <x v="0"/>
    <x v="5"/>
    <n v="0"/>
    <x v="0"/>
    <x v="5"/>
  </r>
  <r>
    <x v="349"/>
    <x v="1"/>
    <x v="10"/>
    <x v="5"/>
    <x v="152"/>
    <x v="0"/>
    <x v="3"/>
    <x v="94"/>
    <d v="2024-06-04T00:00:00"/>
    <n v="0"/>
    <x v="0"/>
    <x v="1"/>
    <n v="0"/>
    <x v="0"/>
    <x v="1"/>
  </r>
  <r>
    <x v="350"/>
    <x v="4"/>
    <x v="13"/>
    <x v="3"/>
    <x v="153"/>
    <x v="1"/>
    <x v="5"/>
    <x v="95"/>
    <d v="2024-03-16T00:00:00"/>
    <n v="0"/>
    <x v="0"/>
    <x v="5"/>
    <n v="0"/>
    <x v="0"/>
    <x v="5"/>
  </r>
  <r>
    <x v="351"/>
    <x v="3"/>
    <x v="6"/>
    <x v="3"/>
    <x v="154"/>
    <x v="1"/>
    <x v="2"/>
    <x v="96"/>
    <d v="2024-05-05T00:00:00"/>
    <n v="0"/>
    <x v="0"/>
    <x v="4"/>
    <n v="0"/>
    <x v="0"/>
    <x v="4"/>
  </r>
  <r>
    <x v="352"/>
    <x v="4"/>
    <x v="13"/>
    <x v="0"/>
    <x v="155"/>
    <x v="2"/>
    <x v="1"/>
    <x v="9"/>
    <d v="2024-04-02T00:00:00"/>
    <n v="0"/>
    <x v="0"/>
    <x v="3"/>
    <n v="0"/>
    <x v="0"/>
    <x v="3"/>
  </r>
  <r>
    <x v="353"/>
    <x v="3"/>
    <x v="3"/>
    <x v="1"/>
    <x v="156"/>
    <x v="2"/>
    <x v="3"/>
    <x v="97"/>
    <d v="2024-01-20T00:00:00"/>
    <n v="0"/>
    <x v="0"/>
    <x v="2"/>
    <n v="0"/>
    <x v="0"/>
    <x v="2"/>
  </r>
  <r>
    <x v="354"/>
    <x v="0"/>
    <x v="8"/>
    <x v="0"/>
    <x v="157"/>
    <x v="1"/>
    <x v="1"/>
    <x v="98"/>
    <d v="2024-06-03T00:00:00"/>
    <n v="0"/>
    <x v="0"/>
    <x v="1"/>
    <n v="0"/>
    <x v="0"/>
    <x v="1"/>
  </r>
  <r>
    <x v="355"/>
    <x v="0"/>
    <x v="8"/>
    <x v="5"/>
    <x v="158"/>
    <x v="0"/>
    <x v="0"/>
    <x v="99"/>
    <d v="2024-03-19T00:00:00"/>
    <n v="0"/>
    <x v="0"/>
    <x v="5"/>
    <n v="0"/>
    <x v="0"/>
    <x v="5"/>
  </r>
  <r>
    <x v="356"/>
    <x v="0"/>
    <x v="7"/>
    <x v="3"/>
    <x v="159"/>
    <x v="0"/>
    <x v="5"/>
    <x v="21"/>
    <d v="2024-03-26T00:00:00"/>
    <n v="0"/>
    <x v="0"/>
    <x v="5"/>
    <n v="0"/>
    <x v="0"/>
    <x v="5"/>
  </r>
  <r>
    <x v="357"/>
    <x v="2"/>
    <x v="5"/>
    <x v="2"/>
    <x v="160"/>
    <x v="0"/>
    <x v="0"/>
    <x v="100"/>
    <d v="2024-03-11T00:00:00"/>
    <n v="0"/>
    <x v="0"/>
    <x v="5"/>
    <n v="0"/>
    <x v="0"/>
    <x v="5"/>
  </r>
  <r>
    <x v="358"/>
    <x v="1"/>
    <x v="1"/>
    <x v="0"/>
    <x v="161"/>
    <x v="2"/>
    <x v="3"/>
    <x v="10"/>
    <d v="2024-05-25T00:00:00"/>
    <n v="0"/>
    <x v="0"/>
    <x v="4"/>
    <n v="0"/>
    <x v="0"/>
    <x v="4"/>
  </r>
  <r>
    <x v="359"/>
    <x v="2"/>
    <x v="5"/>
    <x v="0"/>
    <x v="162"/>
    <x v="2"/>
    <x v="0"/>
    <x v="14"/>
    <d v="2024-01-05T00:00:00"/>
    <n v="0"/>
    <x v="0"/>
    <x v="2"/>
    <n v="0"/>
    <x v="0"/>
    <x v="2"/>
  </r>
  <r>
    <x v="360"/>
    <x v="4"/>
    <x v="13"/>
    <x v="3"/>
    <x v="163"/>
    <x v="2"/>
    <x v="2"/>
    <x v="4"/>
    <d v="2024-01-13T00:00:00"/>
    <n v="0"/>
    <x v="0"/>
    <x v="2"/>
    <n v="0"/>
    <x v="0"/>
    <x v="2"/>
  </r>
  <r>
    <x v="361"/>
    <x v="1"/>
    <x v="11"/>
    <x v="4"/>
    <x v="164"/>
    <x v="2"/>
    <x v="5"/>
    <x v="80"/>
    <d v="2024-04-21T00:00:00"/>
    <n v="0"/>
    <x v="0"/>
    <x v="3"/>
    <n v="0"/>
    <x v="0"/>
    <x v="3"/>
  </r>
  <r>
    <x v="362"/>
    <x v="3"/>
    <x v="3"/>
    <x v="3"/>
    <x v="165"/>
    <x v="1"/>
    <x v="2"/>
    <x v="67"/>
    <d v="2024-04-17T00:00:00"/>
    <n v="0"/>
    <x v="0"/>
    <x v="3"/>
    <n v="0"/>
    <x v="0"/>
    <x v="3"/>
  </r>
  <r>
    <x v="363"/>
    <x v="2"/>
    <x v="5"/>
    <x v="3"/>
    <x v="166"/>
    <x v="0"/>
    <x v="5"/>
    <x v="86"/>
    <d v="2024-03-30T00:00:00"/>
    <n v="0"/>
    <x v="0"/>
    <x v="5"/>
    <n v="0"/>
    <x v="0"/>
    <x v="5"/>
  </r>
  <r>
    <x v="364"/>
    <x v="1"/>
    <x v="1"/>
    <x v="2"/>
    <x v="167"/>
    <x v="0"/>
    <x v="1"/>
    <x v="101"/>
    <d v="2024-02-21T00:00:00"/>
    <n v="0"/>
    <x v="0"/>
    <x v="0"/>
    <n v="0"/>
    <x v="0"/>
    <x v="0"/>
  </r>
  <r>
    <x v="365"/>
    <x v="1"/>
    <x v="1"/>
    <x v="0"/>
    <x v="168"/>
    <x v="1"/>
    <x v="1"/>
    <x v="102"/>
    <d v="2024-02-24T00:00:00"/>
    <n v="0"/>
    <x v="0"/>
    <x v="0"/>
    <n v="0"/>
    <x v="0"/>
    <x v="0"/>
  </r>
  <r>
    <x v="366"/>
    <x v="3"/>
    <x v="3"/>
    <x v="2"/>
    <x v="169"/>
    <x v="0"/>
    <x v="2"/>
    <x v="103"/>
    <d v="2024-01-17T00:00:00"/>
    <n v="1"/>
    <x v="1"/>
    <x v="2"/>
    <n v="1"/>
    <x v="1"/>
    <x v="2"/>
  </r>
  <r>
    <x v="367"/>
    <x v="0"/>
    <x v="7"/>
    <x v="3"/>
    <x v="170"/>
    <x v="2"/>
    <x v="1"/>
    <x v="83"/>
    <d v="2024-01-14T00:00:00"/>
    <n v="0"/>
    <x v="0"/>
    <x v="2"/>
    <n v="0"/>
    <x v="0"/>
    <x v="2"/>
  </r>
  <r>
    <x v="368"/>
    <x v="4"/>
    <x v="12"/>
    <x v="7"/>
    <x v="171"/>
    <x v="1"/>
    <x v="2"/>
    <x v="117"/>
    <d v="2024-06-28T00:00:00"/>
    <n v="0"/>
    <x v="0"/>
    <x v="1"/>
    <n v="0"/>
    <x v="0"/>
    <x v="1"/>
  </r>
  <r>
    <x v="369"/>
    <x v="4"/>
    <x v="4"/>
    <x v="4"/>
    <x v="172"/>
    <x v="1"/>
    <x v="1"/>
    <x v="11"/>
    <d v="2024-06-08T00:00:00"/>
    <n v="0"/>
    <x v="0"/>
    <x v="1"/>
    <n v="0"/>
    <x v="0"/>
    <x v="1"/>
  </r>
  <r>
    <x v="370"/>
    <x v="0"/>
    <x v="0"/>
    <x v="1"/>
    <x v="173"/>
    <x v="0"/>
    <x v="2"/>
    <x v="106"/>
    <d v="2024-05-30T00:00:00"/>
    <n v="0"/>
    <x v="0"/>
    <x v="4"/>
    <n v="0"/>
    <x v="0"/>
    <x v="4"/>
  </r>
  <r>
    <x v="371"/>
    <x v="1"/>
    <x v="10"/>
    <x v="4"/>
    <x v="174"/>
    <x v="2"/>
    <x v="4"/>
    <x v="107"/>
    <d v="2024-03-31T00:00:00"/>
    <n v="0"/>
    <x v="0"/>
    <x v="5"/>
    <n v="0"/>
    <x v="0"/>
    <x v="5"/>
  </r>
  <r>
    <x v="372"/>
    <x v="0"/>
    <x v="8"/>
    <x v="3"/>
    <x v="175"/>
    <x v="1"/>
    <x v="4"/>
    <x v="36"/>
    <d v="2024-05-22T00:00:00"/>
    <n v="0"/>
    <x v="0"/>
    <x v="4"/>
    <n v="0"/>
    <x v="0"/>
    <x v="4"/>
  </r>
  <r>
    <x v="373"/>
    <x v="4"/>
    <x v="13"/>
    <x v="7"/>
    <x v="176"/>
    <x v="2"/>
    <x v="4"/>
    <x v="108"/>
    <d v="2024-02-07T00:00:00"/>
    <n v="1"/>
    <x v="1"/>
    <x v="0"/>
    <n v="1"/>
    <x v="1"/>
    <x v="0"/>
  </r>
  <r>
    <x v="374"/>
    <x v="1"/>
    <x v="11"/>
    <x v="3"/>
    <x v="177"/>
    <x v="1"/>
    <x v="0"/>
    <x v="109"/>
    <d v="2024-02-03T00:00:00"/>
    <n v="0"/>
    <x v="0"/>
    <x v="0"/>
    <n v="0"/>
    <x v="0"/>
    <x v="0"/>
  </r>
  <r>
    <x v="375"/>
    <x v="2"/>
    <x v="2"/>
    <x v="3"/>
    <x v="178"/>
    <x v="2"/>
    <x v="0"/>
    <x v="110"/>
    <d v="2024-04-20T00:00:00"/>
    <n v="0"/>
    <x v="0"/>
    <x v="3"/>
    <n v="0"/>
    <x v="0"/>
    <x v="3"/>
  </r>
  <r>
    <x v="376"/>
    <x v="2"/>
    <x v="2"/>
    <x v="1"/>
    <x v="179"/>
    <x v="2"/>
    <x v="1"/>
    <x v="45"/>
    <d v="2024-05-19T00:00:00"/>
    <n v="0"/>
    <x v="0"/>
    <x v="4"/>
    <n v="0"/>
    <x v="0"/>
    <x v="4"/>
  </r>
  <r>
    <x v="377"/>
    <x v="2"/>
    <x v="5"/>
    <x v="5"/>
    <x v="180"/>
    <x v="1"/>
    <x v="4"/>
    <x v="59"/>
    <d v="2024-02-14T00:00:00"/>
    <n v="0"/>
    <x v="0"/>
    <x v="0"/>
    <n v="0"/>
    <x v="0"/>
    <x v="0"/>
  </r>
  <r>
    <x v="378"/>
    <x v="4"/>
    <x v="4"/>
    <x v="3"/>
    <x v="181"/>
    <x v="2"/>
    <x v="0"/>
    <x v="43"/>
    <d v="2024-01-01T00:00:00"/>
    <n v="0"/>
    <x v="0"/>
    <x v="2"/>
    <n v="0"/>
    <x v="0"/>
    <x v="2"/>
  </r>
  <r>
    <x v="379"/>
    <x v="2"/>
    <x v="14"/>
    <x v="6"/>
    <x v="182"/>
    <x v="0"/>
    <x v="0"/>
    <x v="1"/>
    <d v="2024-06-02T00:00:00"/>
    <n v="0"/>
    <x v="0"/>
    <x v="1"/>
    <n v="0"/>
    <x v="0"/>
    <x v="1"/>
  </r>
  <r>
    <x v="380"/>
    <x v="3"/>
    <x v="6"/>
    <x v="4"/>
    <x v="183"/>
    <x v="2"/>
    <x v="2"/>
    <x v="111"/>
    <d v="2024-02-18T00:00:00"/>
    <n v="0"/>
    <x v="0"/>
    <x v="0"/>
    <n v="0"/>
    <x v="0"/>
    <x v="0"/>
  </r>
  <r>
    <x v="381"/>
    <x v="3"/>
    <x v="3"/>
    <x v="3"/>
    <x v="184"/>
    <x v="2"/>
    <x v="3"/>
    <x v="101"/>
    <d v="2024-02-21T00:00:00"/>
    <n v="0"/>
    <x v="0"/>
    <x v="0"/>
    <n v="0"/>
    <x v="0"/>
    <x v="0"/>
  </r>
  <r>
    <x v="382"/>
    <x v="0"/>
    <x v="7"/>
    <x v="0"/>
    <x v="185"/>
    <x v="0"/>
    <x v="2"/>
    <x v="112"/>
    <d v="2024-03-29T00:00:00"/>
    <n v="0"/>
    <x v="0"/>
    <x v="5"/>
    <n v="0"/>
    <x v="0"/>
    <x v="5"/>
  </r>
  <r>
    <x v="383"/>
    <x v="1"/>
    <x v="1"/>
    <x v="1"/>
    <x v="186"/>
    <x v="1"/>
    <x v="0"/>
    <x v="107"/>
    <d v="2024-03-31T00:00:00"/>
    <n v="0"/>
    <x v="0"/>
    <x v="5"/>
    <n v="0"/>
    <x v="0"/>
    <x v="5"/>
  </r>
  <r>
    <x v="384"/>
    <x v="3"/>
    <x v="6"/>
    <x v="1"/>
    <x v="187"/>
    <x v="2"/>
    <x v="5"/>
    <x v="81"/>
    <d v="2024-06-07T00:00:00"/>
    <n v="0"/>
    <x v="0"/>
    <x v="1"/>
    <n v="0"/>
    <x v="0"/>
    <x v="1"/>
  </r>
  <r>
    <x v="385"/>
    <x v="0"/>
    <x v="0"/>
    <x v="3"/>
    <x v="188"/>
    <x v="1"/>
    <x v="1"/>
    <x v="108"/>
    <d v="2024-02-06T00:00:00"/>
    <n v="0"/>
    <x v="0"/>
    <x v="0"/>
    <n v="0"/>
    <x v="0"/>
    <x v="0"/>
  </r>
  <r>
    <x v="386"/>
    <x v="2"/>
    <x v="5"/>
    <x v="4"/>
    <x v="189"/>
    <x v="2"/>
    <x v="2"/>
    <x v="81"/>
    <d v="2024-06-07T00:00:00"/>
    <n v="0"/>
    <x v="0"/>
    <x v="1"/>
    <n v="0"/>
    <x v="0"/>
    <x v="1"/>
  </r>
  <r>
    <x v="387"/>
    <x v="2"/>
    <x v="2"/>
    <x v="3"/>
    <x v="190"/>
    <x v="1"/>
    <x v="4"/>
    <x v="43"/>
    <d v="2024-01-01T00:00:00"/>
    <n v="0"/>
    <x v="0"/>
    <x v="2"/>
    <n v="0"/>
    <x v="0"/>
    <x v="2"/>
  </r>
  <r>
    <x v="388"/>
    <x v="3"/>
    <x v="9"/>
    <x v="0"/>
    <x v="191"/>
    <x v="1"/>
    <x v="4"/>
    <x v="113"/>
    <d v="2024-03-03T00:00:00"/>
    <n v="0"/>
    <x v="0"/>
    <x v="5"/>
    <n v="0"/>
    <x v="0"/>
    <x v="5"/>
  </r>
  <r>
    <x v="389"/>
    <x v="2"/>
    <x v="2"/>
    <x v="3"/>
    <x v="192"/>
    <x v="0"/>
    <x v="3"/>
    <x v="114"/>
    <d v="2024-01-19T00:00:00"/>
    <n v="0"/>
    <x v="0"/>
    <x v="2"/>
    <n v="0"/>
    <x v="0"/>
    <x v="2"/>
  </r>
  <r>
    <x v="390"/>
    <x v="1"/>
    <x v="10"/>
    <x v="6"/>
    <x v="193"/>
    <x v="1"/>
    <x v="1"/>
    <x v="27"/>
    <d v="2024-04-25T00:00:00"/>
    <n v="0"/>
    <x v="0"/>
    <x v="3"/>
    <n v="0"/>
    <x v="0"/>
    <x v="3"/>
  </r>
  <r>
    <x v="391"/>
    <x v="1"/>
    <x v="1"/>
    <x v="4"/>
    <x v="194"/>
    <x v="1"/>
    <x v="3"/>
    <x v="1"/>
    <d v="2024-06-02T00:00:00"/>
    <n v="0"/>
    <x v="0"/>
    <x v="1"/>
    <n v="0"/>
    <x v="0"/>
    <x v="1"/>
  </r>
  <r>
    <x v="392"/>
    <x v="1"/>
    <x v="10"/>
    <x v="1"/>
    <x v="195"/>
    <x v="1"/>
    <x v="0"/>
    <x v="71"/>
    <d v="2024-05-03T00:00:00"/>
    <n v="0"/>
    <x v="0"/>
    <x v="4"/>
    <n v="0"/>
    <x v="0"/>
    <x v="4"/>
  </r>
  <r>
    <x v="393"/>
    <x v="4"/>
    <x v="4"/>
    <x v="3"/>
    <x v="196"/>
    <x v="1"/>
    <x v="0"/>
    <x v="118"/>
    <d v="2024-06-16T00:00:00"/>
    <n v="0"/>
    <x v="0"/>
    <x v="1"/>
    <n v="0"/>
    <x v="0"/>
    <x v="1"/>
  </r>
  <r>
    <x v="394"/>
    <x v="0"/>
    <x v="8"/>
    <x v="3"/>
    <x v="85"/>
    <x v="1"/>
    <x v="0"/>
    <x v="63"/>
    <d v="2024-05-26T00:00:00"/>
    <n v="0"/>
    <x v="0"/>
    <x v="4"/>
    <n v="0"/>
    <x v="0"/>
    <x v="4"/>
  </r>
  <r>
    <x v="395"/>
    <x v="2"/>
    <x v="14"/>
    <x v="3"/>
    <x v="86"/>
    <x v="1"/>
    <x v="1"/>
    <x v="61"/>
    <d v="2024-04-27T00:00:00"/>
    <n v="0"/>
    <x v="0"/>
    <x v="3"/>
    <n v="0"/>
    <x v="0"/>
    <x v="3"/>
  </r>
  <r>
    <x v="396"/>
    <x v="3"/>
    <x v="9"/>
    <x v="7"/>
    <x v="87"/>
    <x v="2"/>
    <x v="4"/>
    <x v="50"/>
    <d v="2024-05-09T00:00:00"/>
    <n v="0"/>
    <x v="0"/>
    <x v="4"/>
    <n v="0"/>
    <x v="0"/>
    <x v="4"/>
  </r>
  <r>
    <x v="397"/>
    <x v="0"/>
    <x v="0"/>
    <x v="6"/>
    <x v="88"/>
    <x v="1"/>
    <x v="3"/>
    <x v="29"/>
    <d v="2024-03-07T00:00:00"/>
    <n v="0"/>
    <x v="0"/>
    <x v="5"/>
    <n v="0"/>
    <x v="0"/>
    <x v="5"/>
  </r>
  <r>
    <x v="398"/>
    <x v="0"/>
    <x v="8"/>
    <x v="6"/>
    <x v="89"/>
    <x v="0"/>
    <x v="3"/>
    <x v="64"/>
    <d v="2024-04-19T00:00:00"/>
    <n v="0"/>
    <x v="0"/>
    <x v="3"/>
    <n v="0"/>
    <x v="0"/>
    <x v="3"/>
  </r>
  <r>
    <x v="399"/>
    <x v="4"/>
    <x v="4"/>
    <x v="7"/>
    <x v="90"/>
    <x v="1"/>
    <x v="5"/>
    <x v="65"/>
    <d v="2024-01-29T00:00:00"/>
    <n v="0"/>
    <x v="0"/>
    <x v="2"/>
    <n v="0"/>
    <x v="0"/>
    <x v="2"/>
  </r>
  <r>
    <x v="400"/>
    <x v="0"/>
    <x v="0"/>
    <x v="3"/>
    <x v="91"/>
    <x v="1"/>
    <x v="4"/>
    <x v="66"/>
    <d v="2024-03-16T00:00:00"/>
    <n v="1"/>
    <x v="1"/>
    <x v="5"/>
    <n v="1"/>
    <x v="1"/>
    <x v="5"/>
  </r>
  <r>
    <x v="401"/>
    <x v="2"/>
    <x v="14"/>
    <x v="3"/>
    <x v="92"/>
    <x v="2"/>
    <x v="5"/>
    <x v="40"/>
    <d v="2024-03-21T00:00:00"/>
    <n v="0"/>
    <x v="0"/>
    <x v="5"/>
    <n v="0"/>
    <x v="0"/>
    <x v="5"/>
  </r>
  <r>
    <x v="402"/>
    <x v="1"/>
    <x v="1"/>
    <x v="6"/>
    <x v="93"/>
    <x v="2"/>
    <x v="1"/>
    <x v="31"/>
    <d v="2024-05-02T00:00:00"/>
    <n v="0"/>
    <x v="0"/>
    <x v="4"/>
    <n v="0"/>
    <x v="0"/>
    <x v="4"/>
  </r>
  <r>
    <x v="403"/>
    <x v="3"/>
    <x v="6"/>
    <x v="5"/>
    <x v="94"/>
    <x v="1"/>
    <x v="2"/>
    <x v="19"/>
    <d v="2024-01-10T00:00:00"/>
    <n v="0"/>
    <x v="0"/>
    <x v="2"/>
    <n v="0"/>
    <x v="0"/>
    <x v="2"/>
  </r>
  <r>
    <x v="404"/>
    <x v="0"/>
    <x v="0"/>
    <x v="1"/>
    <x v="95"/>
    <x v="0"/>
    <x v="0"/>
    <x v="67"/>
    <d v="2024-04-17T00:00:00"/>
    <n v="0"/>
    <x v="0"/>
    <x v="3"/>
    <n v="0"/>
    <x v="0"/>
    <x v="3"/>
  </r>
  <r>
    <x v="405"/>
    <x v="1"/>
    <x v="1"/>
    <x v="4"/>
    <x v="96"/>
    <x v="1"/>
    <x v="4"/>
    <x v="68"/>
    <d v="2024-03-23T00:00:00"/>
    <n v="1"/>
    <x v="1"/>
    <x v="5"/>
    <n v="1"/>
    <x v="1"/>
    <x v="5"/>
  </r>
  <r>
    <x v="406"/>
    <x v="2"/>
    <x v="2"/>
    <x v="6"/>
    <x v="97"/>
    <x v="2"/>
    <x v="0"/>
    <x v="60"/>
    <d v="2024-03-05T00:00:00"/>
    <n v="0"/>
    <x v="0"/>
    <x v="5"/>
    <n v="0"/>
    <x v="0"/>
    <x v="5"/>
  </r>
  <r>
    <x v="407"/>
    <x v="1"/>
    <x v="11"/>
    <x v="4"/>
    <x v="98"/>
    <x v="1"/>
    <x v="2"/>
    <x v="37"/>
    <d v="2024-01-30T00:00:00"/>
    <n v="0"/>
    <x v="0"/>
    <x v="2"/>
    <n v="0"/>
    <x v="0"/>
    <x v="2"/>
  </r>
  <r>
    <x v="408"/>
    <x v="4"/>
    <x v="12"/>
    <x v="3"/>
    <x v="99"/>
    <x v="2"/>
    <x v="5"/>
    <x v="69"/>
    <d v="2024-01-12T00:00:00"/>
    <n v="0"/>
    <x v="0"/>
    <x v="2"/>
    <n v="0"/>
    <x v="0"/>
    <x v="2"/>
  </r>
  <r>
    <x v="409"/>
    <x v="4"/>
    <x v="13"/>
    <x v="6"/>
    <x v="100"/>
    <x v="1"/>
    <x v="4"/>
    <x v="119"/>
    <d v="2024-06-21T00:00:00"/>
    <n v="0"/>
    <x v="0"/>
    <x v="1"/>
    <n v="0"/>
    <x v="0"/>
    <x v="1"/>
  </r>
  <r>
    <x v="410"/>
    <x v="2"/>
    <x v="5"/>
    <x v="6"/>
    <x v="101"/>
    <x v="2"/>
    <x v="1"/>
    <x v="71"/>
    <d v="2024-05-03T00:00:00"/>
    <n v="0"/>
    <x v="0"/>
    <x v="4"/>
    <n v="0"/>
    <x v="0"/>
    <x v="4"/>
  </r>
  <r>
    <x v="411"/>
    <x v="4"/>
    <x v="13"/>
    <x v="2"/>
    <x v="102"/>
    <x v="2"/>
    <x v="5"/>
    <x v="13"/>
    <d v="2024-06-09T00:00:00"/>
    <n v="0"/>
    <x v="0"/>
    <x v="1"/>
    <n v="0"/>
    <x v="0"/>
    <x v="1"/>
  </r>
  <r>
    <x v="412"/>
    <x v="4"/>
    <x v="4"/>
    <x v="1"/>
    <x v="103"/>
    <x v="1"/>
    <x v="5"/>
    <x v="115"/>
    <d v="2024-06-18T00:00:00"/>
    <n v="0"/>
    <x v="0"/>
    <x v="1"/>
    <n v="0"/>
    <x v="0"/>
    <x v="1"/>
  </r>
  <r>
    <x v="413"/>
    <x v="2"/>
    <x v="5"/>
    <x v="7"/>
    <x v="104"/>
    <x v="0"/>
    <x v="3"/>
    <x v="72"/>
    <d v="2024-04-30T00:00:00"/>
    <n v="0"/>
    <x v="0"/>
    <x v="3"/>
    <n v="0"/>
    <x v="0"/>
    <x v="3"/>
  </r>
  <r>
    <x v="414"/>
    <x v="4"/>
    <x v="13"/>
    <x v="3"/>
    <x v="105"/>
    <x v="1"/>
    <x v="2"/>
    <x v="73"/>
    <d v="2024-04-09T00:00:00"/>
    <n v="0"/>
    <x v="0"/>
    <x v="3"/>
    <n v="0"/>
    <x v="0"/>
    <x v="3"/>
  </r>
  <r>
    <x v="415"/>
    <x v="3"/>
    <x v="9"/>
    <x v="1"/>
    <x v="106"/>
    <x v="2"/>
    <x v="3"/>
    <x v="54"/>
    <d v="2024-04-26T00:00:00"/>
    <n v="0"/>
    <x v="0"/>
    <x v="3"/>
    <n v="0"/>
    <x v="0"/>
    <x v="3"/>
  </r>
  <r>
    <x v="416"/>
    <x v="2"/>
    <x v="5"/>
    <x v="2"/>
    <x v="107"/>
    <x v="2"/>
    <x v="1"/>
    <x v="60"/>
    <d v="2024-03-05T00:00:00"/>
    <n v="0"/>
    <x v="0"/>
    <x v="5"/>
    <n v="0"/>
    <x v="0"/>
    <x v="5"/>
  </r>
  <r>
    <x v="417"/>
    <x v="2"/>
    <x v="2"/>
    <x v="3"/>
    <x v="108"/>
    <x v="2"/>
    <x v="2"/>
    <x v="25"/>
    <d v="2024-05-18T00:00:00"/>
    <n v="0"/>
    <x v="0"/>
    <x v="4"/>
    <n v="0"/>
    <x v="0"/>
    <x v="4"/>
  </r>
  <r>
    <x v="418"/>
    <x v="0"/>
    <x v="8"/>
    <x v="5"/>
    <x v="109"/>
    <x v="0"/>
    <x v="5"/>
    <x v="58"/>
    <d v="2024-03-09T00:00:00"/>
    <n v="0"/>
    <x v="0"/>
    <x v="5"/>
    <n v="0"/>
    <x v="0"/>
    <x v="5"/>
  </r>
  <r>
    <x v="419"/>
    <x v="4"/>
    <x v="12"/>
    <x v="0"/>
    <x v="110"/>
    <x v="2"/>
    <x v="3"/>
    <x v="74"/>
    <d v="2024-01-27T00:00:00"/>
    <n v="0"/>
    <x v="0"/>
    <x v="2"/>
    <n v="0"/>
    <x v="0"/>
    <x v="2"/>
  </r>
  <r>
    <x v="420"/>
    <x v="2"/>
    <x v="14"/>
    <x v="3"/>
    <x v="111"/>
    <x v="1"/>
    <x v="4"/>
    <x v="75"/>
    <d v="2024-01-22T00:00:00"/>
    <n v="0"/>
    <x v="0"/>
    <x v="2"/>
    <n v="0"/>
    <x v="0"/>
    <x v="2"/>
  </r>
  <r>
    <x v="421"/>
    <x v="1"/>
    <x v="11"/>
    <x v="2"/>
    <x v="112"/>
    <x v="1"/>
    <x v="4"/>
    <x v="76"/>
    <d v="2024-03-27T00:00:00"/>
    <n v="0"/>
    <x v="0"/>
    <x v="5"/>
    <n v="0"/>
    <x v="0"/>
    <x v="5"/>
  </r>
  <r>
    <x v="422"/>
    <x v="3"/>
    <x v="3"/>
    <x v="3"/>
    <x v="113"/>
    <x v="0"/>
    <x v="1"/>
    <x v="77"/>
    <d v="2024-03-14T00:00:00"/>
    <n v="0"/>
    <x v="0"/>
    <x v="5"/>
    <n v="0"/>
    <x v="0"/>
    <x v="5"/>
  </r>
  <r>
    <x v="423"/>
    <x v="0"/>
    <x v="7"/>
    <x v="4"/>
    <x v="114"/>
    <x v="0"/>
    <x v="4"/>
    <x v="78"/>
    <d v="2024-04-11T00:00:00"/>
    <n v="0"/>
    <x v="0"/>
    <x v="3"/>
    <n v="0"/>
    <x v="0"/>
    <x v="3"/>
  </r>
  <r>
    <x v="424"/>
    <x v="2"/>
    <x v="2"/>
    <x v="4"/>
    <x v="115"/>
    <x v="1"/>
    <x v="1"/>
    <x v="79"/>
    <d v="2024-05-20T00:00:00"/>
    <n v="0"/>
    <x v="0"/>
    <x v="4"/>
    <n v="0"/>
    <x v="0"/>
    <x v="4"/>
  </r>
  <r>
    <x v="425"/>
    <x v="2"/>
    <x v="14"/>
    <x v="5"/>
    <x v="116"/>
    <x v="2"/>
    <x v="5"/>
    <x v="14"/>
    <d v="2024-01-05T00:00:00"/>
    <n v="0"/>
    <x v="0"/>
    <x v="2"/>
    <n v="0"/>
    <x v="0"/>
    <x v="2"/>
  </r>
  <r>
    <x v="426"/>
    <x v="1"/>
    <x v="10"/>
    <x v="7"/>
    <x v="117"/>
    <x v="2"/>
    <x v="5"/>
    <x v="55"/>
    <d v="2024-04-04T00:00:00"/>
    <n v="0"/>
    <x v="0"/>
    <x v="3"/>
    <n v="0"/>
    <x v="0"/>
    <x v="3"/>
  </r>
  <r>
    <x v="427"/>
    <x v="4"/>
    <x v="13"/>
    <x v="5"/>
    <x v="118"/>
    <x v="1"/>
    <x v="0"/>
    <x v="52"/>
    <d v="2024-04-24T00:00:00"/>
    <n v="0"/>
    <x v="0"/>
    <x v="3"/>
    <n v="0"/>
    <x v="0"/>
    <x v="3"/>
  </r>
  <r>
    <x v="428"/>
    <x v="1"/>
    <x v="1"/>
    <x v="2"/>
    <x v="119"/>
    <x v="0"/>
    <x v="5"/>
    <x v="5"/>
    <d v="2024-02-16T00:00:00"/>
    <n v="0"/>
    <x v="0"/>
    <x v="0"/>
    <n v="0"/>
    <x v="0"/>
    <x v="0"/>
  </r>
  <r>
    <x v="429"/>
    <x v="0"/>
    <x v="0"/>
    <x v="1"/>
    <x v="120"/>
    <x v="1"/>
    <x v="1"/>
    <x v="80"/>
    <d v="2024-04-21T00:00:00"/>
    <n v="0"/>
    <x v="0"/>
    <x v="3"/>
    <n v="0"/>
    <x v="0"/>
    <x v="3"/>
  </r>
  <r>
    <x v="430"/>
    <x v="1"/>
    <x v="10"/>
    <x v="1"/>
    <x v="121"/>
    <x v="1"/>
    <x v="3"/>
    <x v="81"/>
    <d v="2024-06-07T00:00:00"/>
    <n v="0"/>
    <x v="0"/>
    <x v="1"/>
    <n v="0"/>
    <x v="0"/>
    <x v="1"/>
  </r>
  <r>
    <x v="431"/>
    <x v="3"/>
    <x v="3"/>
    <x v="5"/>
    <x v="122"/>
    <x v="2"/>
    <x v="5"/>
    <x v="82"/>
    <d v="2024-01-08T00:00:00"/>
    <n v="0"/>
    <x v="0"/>
    <x v="2"/>
    <n v="0"/>
    <x v="0"/>
    <x v="2"/>
  </r>
  <r>
    <x v="432"/>
    <x v="1"/>
    <x v="10"/>
    <x v="0"/>
    <x v="198"/>
    <x v="2"/>
    <x v="4"/>
    <x v="83"/>
    <d v="2024-01-15T00:00:00"/>
    <n v="1"/>
    <x v="1"/>
    <x v="2"/>
    <n v="1"/>
    <x v="1"/>
    <x v="2"/>
  </r>
  <r>
    <x v="433"/>
    <x v="3"/>
    <x v="6"/>
    <x v="7"/>
    <x v="123"/>
    <x v="0"/>
    <x v="5"/>
    <x v="79"/>
    <d v="2024-05-20T00:00:00"/>
    <n v="0"/>
    <x v="0"/>
    <x v="4"/>
    <n v="0"/>
    <x v="0"/>
    <x v="4"/>
  </r>
  <r>
    <x v="434"/>
    <x v="2"/>
    <x v="2"/>
    <x v="6"/>
    <x v="124"/>
    <x v="1"/>
    <x v="0"/>
    <x v="16"/>
    <d v="2024-04-23T00:00:00"/>
    <n v="0"/>
    <x v="0"/>
    <x v="3"/>
    <n v="0"/>
    <x v="0"/>
    <x v="3"/>
  </r>
  <r>
    <x v="435"/>
    <x v="4"/>
    <x v="4"/>
    <x v="0"/>
    <x v="125"/>
    <x v="1"/>
    <x v="3"/>
    <x v="26"/>
    <d v="2024-02-08T00:00:00"/>
    <n v="0"/>
    <x v="0"/>
    <x v="0"/>
    <n v="0"/>
    <x v="0"/>
    <x v="0"/>
  </r>
  <r>
    <x v="436"/>
    <x v="2"/>
    <x v="2"/>
    <x v="3"/>
    <x v="126"/>
    <x v="1"/>
    <x v="4"/>
    <x v="31"/>
    <d v="2024-05-02T00:00:00"/>
    <n v="0"/>
    <x v="0"/>
    <x v="4"/>
    <n v="0"/>
    <x v="0"/>
    <x v="4"/>
  </r>
  <r>
    <x v="437"/>
    <x v="0"/>
    <x v="7"/>
    <x v="6"/>
    <x v="127"/>
    <x v="2"/>
    <x v="3"/>
    <x v="67"/>
    <d v="2024-04-17T00:00:00"/>
    <n v="0"/>
    <x v="0"/>
    <x v="3"/>
    <n v="0"/>
    <x v="0"/>
    <x v="3"/>
  </r>
  <r>
    <x v="438"/>
    <x v="2"/>
    <x v="5"/>
    <x v="4"/>
    <x v="128"/>
    <x v="0"/>
    <x v="0"/>
    <x v="4"/>
    <d v="2024-01-13T00:00:00"/>
    <n v="0"/>
    <x v="0"/>
    <x v="2"/>
    <n v="0"/>
    <x v="0"/>
    <x v="2"/>
  </r>
  <r>
    <x v="439"/>
    <x v="1"/>
    <x v="1"/>
    <x v="3"/>
    <x v="129"/>
    <x v="0"/>
    <x v="2"/>
    <x v="83"/>
    <d v="2024-01-15T00:00:00"/>
    <n v="1"/>
    <x v="1"/>
    <x v="2"/>
    <n v="1"/>
    <x v="1"/>
    <x v="2"/>
  </r>
  <r>
    <x v="440"/>
    <x v="0"/>
    <x v="7"/>
    <x v="3"/>
    <x v="130"/>
    <x v="0"/>
    <x v="5"/>
    <x v="84"/>
    <d v="2024-02-15T00:00:00"/>
    <n v="0"/>
    <x v="0"/>
    <x v="0"/>
    <n v="0"/>
    <x v="0"/>
    <x v="0"/>
  </r>
  <r>
    <x v="441"/>
    <x v="2"/>
    <x v="14"/>
    <x v="0"/>
    <x v="131"/>
    <x v="1"/>
    <x v="2"/>
    <x v="85"/>
    <d v="2024-01-11T00:00:00"/>
    <n v="0"/>
    <x v="0"/>
    <x v="2"/>
    <n v="0"/>
    <x v="0"/>
    <x v="2"/>
  </r>
  <r>
    <x v="442"/>
    <x v="3"/>
    <x v="9"/>
    <x v="3"/>
    <x v="132"/>
    <x v="2"/>
    <x v="5"/>
    <x v="86"/>
    <d v="2024-03-30T00:00:00"/>
    <n v="0"/>
    <x v="0"/>
    <x v="5"/>
    <n v="0"/>
    <x v="0"/>
    <x v="5"/>
  </r>
  <r>
    <x v="443"/>
    <x v="0"/>
    <x v="0"/>
    <x v="7"/>
    <x v="133"/>
    <x v="0"/>
    <x v="4"/>
    <x v="87"/>
    <d v="2024-01-16T00:00:00"/>
    <n v="1"/>
    <x v="1"/>
    <x v="2"/>
    <n v="1"/>
    <x v="1"/>
    <x v="2"/>
  </r>
  <r>
    <x v="444"/>
    <x v="0"/>
    <x v="8"/>
    <x v="3"/>
    <x v="134"/>
    <x v="0"/>
    <x v="3"/>
    <x v="55"/>
    <d v="2024-04-04T00:00:00"/>
    <n v="0"/>
    <x v="0"/>
    <x v="3"/>
    <n v="0"/>
    <x v="0"/>
    <x v="3"/>
  </r>
  <r>
    <x v="445"/>
    <x v="0"/>
    <x v="0"/>
    <x v="2"/>
    <x v="135"/>
    <x v="1"/>
    <x v="0"/>
    <x v="88"/>
    <d v="2024-02-11T00:00:00"/>
    <n v="0"/>
    <x v="0"/>
    <x v="0"/>
    <n v="0"/>
    <x v="0"/>
    <x v="0"/>
  </r>
  <r>
    <x v="446"/>
    <x v="1"/>
    <x v="11"/>
    <x v="3"/>
    <x v="136"/>
    <x v="1"/>
    <x v="5"/>
    <x v="89"/>
    <d v="2024-03-02T00:00:00"/>
    <n v="0"/>
    <x v="0"/>
    <x v="5"/>
    <n v="0"/>
    <x v="0"/>
    <x v="5"/>
  </r>
  <r>
    <x v="447"/>
    <x v="4"/>
    <x v="13"/>
    <x v="3"/>
    <x v="137"/>
    <x v="1"/>
    <x v="5"/>
    <x v="116"/>
    <d v="2024-06-24T00:00:00"/>
    <n v="0"/>
    <x v="0"/>
    <x v="1"/>
    <n v="0"/>
    <x v="0"/>
    <x v="1"/>
  </r>
  <r>
    <x v="448"/>
    <x v="0"/>
    <x v="8"/>
    <x v="3"/>
    <x v="138"/>
    <x v="2"/>
    <x v="3"/>
    <x v="49"/>
    <d v="2024-03-01T00:00:00"/>
    <n v="0"/>
    <x v="0"/>
    <x v="5"/>
    <n v="0"/>
    <x v="0"/>
    <x v="5"/>
  </r>
  <r>
    <x v="449"/>
    <x v="1"/>
    <x v="10"/>
    <x v="1"/>
    <x v="139"/>
    <x v="0"/>
    <x v="5"/>
    <x v="62"/>
    <d v="2024-02-17T00:00:00"/>
    <n v="0"/>
    <x v="0"/>
    <x v="0"/>
    <n v="0"/>
    <x v="0"/>
    <x v="0"/>
  </r>
  <r>
    <x v="450"/>
    <x v="0"/>
    <x v="0"/>
    <x v="4"/>
    <x v="140"/>
    <x v="2"/>
    <x v="4"/>
    <x v="4"/>
    <d v="2024-01-14T00:00:00"/>
    <n v="1"/>
    <x v="1"/>
    <x v="2"/>
    <n v="1"/>
    <x v="1"/>
    <x v="2"/>
  </r>
  <r>
    <x v="451"/>
    <x v="1"/>
    <x v="1"/>
    <x v="0"/>
    <x v="141"/>
    <x v="1"/>
    <x v="2"/>
    <x v="76"/>
    <d v="2024-03-27T00:00:00"/>
    <n v="0"/>
    <x v="0"/>
    <x v="5"/>
    <n v="0"/>
    <x v="0"/>
    <x v="5"/>
  </r>
  <r>
    <x v="452"/>
    <x v="3"/>
    <x v="3"/>
    <x v="7"/>
    <x v="142"/>
    <x v="1"/>
    <x v="5"/>
    <x v="58"/>
    <d v="2024-03-09T00:00:00"/>
    <n v="0"/>
    <x v="0"/>
    <x v="5"/>
    <n v="0"/>
    <x v="0"/>
    <x v="5"/>
  </r>
  <r>
    <x v="453"/>
    <x v="1"/>
    <x v="10"/>
    <x v="0"/>
    <x v="143"/>
    <x v="2"/>
    <x v="1"/>
    <x v="16"/>
    <d v="2024-04-23T00:00:00"/>
    <n v="0"/>
    <x v="0"/>
    <x v="3"/>
    <n v="0"/>
    <x v="0"/>
    <x v="3"/>
  </r>
  <r>
    <x v="454"/>
    <x v="2"/>
    <x v="14"/>
    <x v="5"/>
    <x v="144"/>
    <x v="0"/>
    <x v="0"/>
    <x v="78"/>
    <d v="2024-04-11T00:00:00"/>
    <n v="0"/>
    <x v="0"/>
    <x v="3"/>
    <n v="0"/>
    <x v="0"/>
    <x v="3"/>
  </r>
  <r>
    <x v="455"/>
    <x v="1"/>
    <x v="10"/>
    <x v="5"/>
    <x v="197"/>
    <x v="1"/>
    <x v="4"/>
    <x v="4"/>
    <d v="2024-01-13T00:00:00"/>
    <n v="0"/>
    <x v="0"/>
    <x v="2"/>
    <n v="0"/>
    <x v="0"/>
    <x v="2"/>
  </r>
  <r>
    <x v="456"/>
    <x v="1"/>
    <x v="10"/>
    <x v="6"/>
    <x v="145"/>
    <x v="2"/>
    <x v="2"/>
    <x v="91"/>
    <d v="2024-03-24T00:00:00"/>
    <n v="0"/>
    <x v="0"/>
    <x v="5"/>
    <n v="0"/>
    <x v="0"/>
    <x v="5"/>
  </r>
  <r>
    <x v="457"/>
    <x v="0"/>
    <x v="8"/>
    <x v="1"/>
    <x v="146"/>
    <x v="0"/>
    <x v="5"/>
    <x v="24"/>
    <d v="2024-01-24T00:00:00"/>
    <n v="0"/>
    <x v="0"/>
    <x v="2"/>
    <n v="0"/>
    <x v="0"/>
    <x v="2"/>
  </r>
  <r>
    <x v="458"/>
    <x v="3"/>
    <x v="9"/>
    <x v="2"/>
    <x v="147"/>
    <x v="2"/>
    <x v="1"/>
    <x v="67"/>
    <d v="2024-04-17T00:00:00"/>
    <n v="0"/>
    <x v="0"/>
    <x v="3"/>
    <n v="0"/>
    <x v="0"/>
    <x v="3"/>
  </r>
  <r>
    <x v="459"/>
    <x v="3"/>
    <x v="9"/>
    <x v="3"/>
    <x v="148"/>
    <x v="2"/>
    <x v="5"/>
    <x v="92"/>
    <d v="2024-05-13T00:00:00"/>
    <n v="0"/>
    <x v="0"/>
    <x v="4"/>
    <n v="0"/>
    <x v="0"/>
    <x v="4"/>
  </r>
  <r>
    <x v="460"/>
    <x v="4"/>
    <x v="4"/>
    <x v="5"/>
    <x v="149"/>
    <x v="1"/>
    <x v="4"/>
    <x v="16"/>
    <d v="2024-04-23T00:00:00"/>
    <n v="0"/>
    <x v="0"/>
    <x v="3"/>
    <n v="0"/>
    <x v="0"/>
    <x v="3"/>
  </r>
  <r>
    <x v="461"/>
    <x v="0"/>
    <x v="0"/>
    <x v="0"/>
    <x v="150"/>
    <x v="2"/>
    <x v="5"/>
    <x v="88"/>
    <d v="2024-02-11T00:00:00"/>
    <n v="0"/>
    <x v="0"/>
    <x v="0"/>
    <n v="0"/>
    <x v="0"/>
    <x v="0"/>
  </r>
  <r>
    <x v="462"/>
    <x v="3"/>
    <x v="3"/>
    <x v="7"/>
    <x v="151"/>
    <x v="0"/>
    <x v="0"/>
    <x v="93"/>
    <d v="2024-03-28T00:00:00"/>
    <n v="0"/>
    <x v="0"/>
    <x v="5"/>
    <n v="0"/>
    <x v="0"/>
    <x v="5"/>
  </r>
  <r>
    <x v="463"/>
    <x v="1"/>
    <x v="10"/>
    <x v="5"/>
    <x v="152"/>
    <x v="0"/>
    <x v="3"/>
    <x v="94"/>
    <d v="2024-06-04T00:00:00"/>
    <n v="0"/>
    <x v="0"/>
    <x v="1"/>
    <n v="0"/>
    <x v="0"/>
    <x v="1"/>
  </r>
  <r>
    <x v="464"/>
    <x v="2"/>
    <x v="2"/>
    <x v="2"/>
    <x v="2"/>
    <x v="1"/>
    <x v="2"/>
    <x v="2"/>
    <d v="2024-02-09T00:00:00"/>
    <n v="0"/>
    <x v="0"/>
    <x v="0"/>
    <n v="0"/>
    <x v="0"/>
    <x v="0"/>
  </r>
  <r>
    <x v="465"/>
    <x v="2"/>
    <x v="5"/>
    <x v="0"/>
    <x v="6"/>
    <x v="2"/>
    <x v="4"/>
    <x v="6"/>
    <d v="2024-01-24T00:00:00"/>
    <n v="1"/>
    <x v="1"/>
    <x v="2"/>
    <n v="1"/>
    <x v="1"/>
    <x v="2"/>
  </r>
  <r>
    <x v="466"/>
    <x v="2"/>
    <x v="5"/>
    <x v="2"/>
    <x v="7"/>
    <x v="0"/>
    <x v="2"/>
    <x v="7"/>
    <d v="2024-04-18T00:00:00"/>
    <n v="0"/>
    <x v="0"/>
    <x v="3"/>
    <n v="0"/>
    <x v="0"/>
    <x v="3"/>
  </r>
  <r>
    <x v="467"/>
    <x v="2"/>
    <x v="5"/>
    <x v="3"/>
    <x v="20"/>
    <x v="2"/>
    <x v="0"/>
    <x v="18"/>
    <d v="2024-02-07T00:00:00"/>
    <n v="0"/>
    <x v="0"/>
    <x v="0"/>
    <n v="0"/>
    <x v="0"/>
    <x v="0"/>
  </r>
  <r>
    <x v="468"/>
    <x v="2"/>
    <x v="5"/>
    <x v="3"/>
    <x v="30"/>
    <x v="2"/>
    <x v="0"/>
    <x v="25"/>
    <d v="2024-05-18T00:00:00"/>
    <n v="0"/>
    <x v="0"/>
    <x v="4"/>
    <n v="0"/>
    <x v="0"/>
    <x v="4"/>
  </r>
  <r>
    <x v="469"/>
    <x v="2"/>
    <x v="2"/>
    <x v="2"/>
    <x v="44"/>
    <x v="2"/>
    <x v="3"/>
    <x v="37"/>
    <d v="2024-01-30T00:00:00"/>
    <n v="0"/>
    <x v="0"/>
    <x v="2"/>
    <n v="0"/>
    <x v="0"/>
    <x v="2"/>
  </r>
  <r>
    <x v="470"/>
    <x v="2"/>
    <x v="2"/>
    <x v="5"/>
    <x v="45"/>
    <x v="2"/>
    <x v="1"/>
    <x v="38"/>
    <d v="2024-05-06T00:00:00"/>
    <n v="0"/>
    <x v="0"/>
    <x v="4"/>
    <n v="0"/>
    <x v="0"/>
    <x v="4"/>
  </r>
  <r>
    <x v="471"/>
    <x v="2"/>
    <x v="14"/>
    <x v="1"/>
    <x v="52"/>
    <x v="0"/>
    <x v="3"/>
    <x v="44"/>
    <d v="2024-05-11T00:00:00"/>
    <n v="0"/>
    <x v="0"/>
    <x v="4"/>
    <n v="0"/>
    <x v="0"/>
    <x v="4"/>
  </r>
  <r>
    <x v="472"/>
    <x v="2"/>
    <x v="5"/>
    <x v="3"/>
    <x v="61"/>
    <x v="2"/>
    <x v="2"/>
    <x v="25"/>
    <d v="2024-05-18T00:00:00"/>
    <n v="0"/>
    <x v="0"/>
    <x v="4"/>
    <n v="0"/>
    <x v="0"/>
    <x v="4"/>
  </r>
  <r>
    <x v="473"/>
    <x v="2"/>
    <x v="5"/>
    <x v="3"/>
    <x v="64"/>
    <x v="2"/>
    <x v="0"/>
    <x v="50"/>
    <d v="2024-05-09T00:00:00"/>
    <n v="0"/>
    <x v="0"/>
    <x v="4"/>
    <n v="0"/>
    <x v="0"/>
    <x v="4"/>
  </r>
  <r>
    <x v="474"/>
    <x v="2"/>
    <x v="14"/>
    <x v="2"/>
    <x v="65"/>
    <x v="2"/>
    <x v="0"/>
    <x v="51"/>
    <d v="2024-01-18T00:00:00"/>
    <n v="0"/>
    <x v="0"/>
    <x v="2"/>
    <n v="0"/>
    <x v="0"/>
    <x v="2"/>
  </r>
  <r>
    <x v="475"/>
    <x v="2"/>
    <x v="2"/>
    <x v="1"/>
    <x v="67"/>
    <x v="1"/>
    <x v="1"/>
    <x v="52"/>
    <d v="2024-04-24T00:00:00"/>
    <n v="0"/>
    <x v="0"/>
    <x v="3"/>
    <n v="0"/>
    <x v="0"/>
    <x v="3"/>
  </r>
  <r>
    <x v="476"/>
    <x v="2"/>
    <x v="14"/>
    <x v="0"/>
    <x v="69"/>
    <x v="0"/>
    <x v="3"/>
    <x v="54"/>
    <d v="2024-04-26T00:00:00"/>
    <n v="0"/>
    <x v="0"/>
    <x v="3"/>
    <n v="0"/>
    <x v="0"/>
    <x v="3"/>
  </r>
  <r>
    <x v="477"/>
    <x v="2"/>
    <x v="14"/>
    <x v="1"/>
    <x v="71"/>
    <x v="0"/>
    <x v="2"/>
    <x v="34"/>
    <d v="2024-04-15T00:00:00"/>
    <n v="0"/>
    <x v="0"/>
    <x v="3"/>
    <n v="0"/>
    <x v="0"/>
    <x v="3"/>
  </r>
  <r>
    <x v="478"/>
    <x v="2"/>
    <x v="2"/>
    <x v="6"/>
    <x v="78"/>
    <x v="0"/>
    <x v="2"/>
    <x v="48"/>
    <d v="2024-05-04T00:00:00"/>
    <n v="0"/>
    <x v="0"/>
    <x v="4"/>
    <n v="0"/>
    <x v="0"/>
    <x v="4"/>
  </r>
  <r>
    <x v="479"/>
    <x v="2"/>
    <x v="14"/>
    <x v="4"/>
    <x v="80"/>
    <x v="0"/>
    <x v="3"/>
    <x v="60"/>
    <d v="2024-03-05T00:00:00"/>
    <n v="0"/>
    <x v="0"/>
    <x v="5"/>
    <n v="0"/>
    <x v="0"/>
    <x v="5"/>
  </r>
  <r>
    <x v="480"/>
    <x v="2"/>
    <x v="5"/>
    <x v="4"/>
    <x v="84"/>
    <x v="0"/>
    <x v="2"/>
    <x v="21"/>
    <d v="2024-03-26T00:00:00"/>
    <n v="0"/>
    <x v="0"/>
    <x v="5"/>
    <n v="0"/>
    <x v="0"/>
    <x v="5"/>
  </r>
  <r>
    <x v="481"/>
    <x v="2"/>
    <x v="14"/>
    <x v="3"/>
    <x v="86"/>
    <x v="1"/>
    <x v="1"/>
    <x v="61"/>
    <d v="2024-04-27T00:00:00"/>
    <n v="0"/>
    <x v="0"/>
    <x v="3"/>
    <n v="0"/>
    <x v="0"/>
    <x v="3"/>
  </r>
  <r>
    <x v="482"/>
    <x v="2"/>
    <x v="14"/>
    <x v="3"/>
    <x v="92"/>
    <x v="2"/>
    <x v="5"/>
    <x v="40"/>
    <d v="2024-03-21T00:00:00"/>
    <n v="0"/>
    <x v="0"/>
    <x v="5"/>
    <n v="0"/>
    <x v="0"/>
    <x v="5"/>
  </r>
  <r>
    <x v="483"/>
    <x v="2"/>
    <x v="2"/>
    <x v="6"/>
    <x v="97"/>
    <x v="2"/>
    <x v="0"/>
    <x v="60"/>
    <d v="2024-03-05T00:00:00"/>
    <n v="0"/>
    <x v="0"/>
    <x v="5"/>
    <n v="0"/>
    <x v="0"/>
    <x v="5"/>
  </r>
  <r>
    <x v="484"/>
    <x v="2"/>
    <x v="5"/>
    <x v="6"/>
    <x v="101"/>
    <x v="2"/>
    <x v="1"/>
    <x v="71"/>
    <d v="2024-05-03T00:00:00"/>
    <n v="0"/>
    <x v="0"/>
    <x v="4"/>
    <n v="0"/>
    <x v="0"/>
    <x v="4"/>
  </r>
  <r>
    <x v="485"/>
    <x v="2"/>
    <x v="5"/>
    <x v="7"/>
    <x v="104"/>
    <x v="0"/>
    <x v="3"/>
    <x v="72"/>
    <d v="2024-04-30T00:00:00"/>
    <n v="0"/>
    <x v="0"/>
    <x v="3"/>
    <n v="0"/>
    <x v="0"/>
    <x v="3"/>
  </r>
  <r>
    <x v="486"/>
    <x v="2"/>
    <x v="5"/>
    <x v="3"/>
    <x v="107"/>
    <x v="2"/>
    <x v="1"/>
    <x v="60"/>
    <d v="2024-03-06T00:00:00"/>
    <n v="1"/>
    <x v="1"/>
    <x v="5"/>
    <n v="1"/>
    <x v="1"/>
    <x v="5"/>
  </r>
  <r>
    <x v="487"/>
    <x v="2"/>
    <x v="2"/>
    <x v="3"/>
    <x v="108"/>
    <x v="2"/>
    <x v="2"/>
    <x v="25"/>
    <d v="2024-05-18T00:00:00"/>
    <n v="0"/>
    <x v="0"/>
    <x v="4"/>
    <n v="0"/>
    <x v="0"/>
    <x v="4"/>
  </r>
  <r>
    <x v="488"/>
    <x v="2"/>
    <x v="14"/>
    <x v="3"/>
    <x v="111"/>
    <x v="1"/>
    <x v="4"/>
    <x v="75"/>
    <d v="2024-01-22T00:00:00"/>
    <n v="0"/>
    <x v="0"/>
    <x v="2"/>
    <n v="0"/>
    <x v="0"/>
    <x v="2"/>
  </r>
  <r>
    <x v="489"/>
    <x v="2"/>
    <x v="2"/>
    <x v="4"/>
    <x v="115"/>
    <x v="1"/>
    <x v="1"/>
    <x v="79"/>
    <d v="2024-05-20T00:00:00"/>
    <n v="0"/>
    <x v="0"/>
    <x v="4"/>
    <n v="0"/>
    <x v="0"/>
    <x v="4"/>
  </r>
  <r>
    <x v="490"/>
    <x v="2"/>
    <x v="14"/>
    <x v="5"/>
    <x v="116"/>
    <x v="2"/>
    <x v="5"/>
    <x v="14"/>
    <d v="2024-01-05T00:00:00"/>
    <n v="0"/>
    <x v="0"/>
    <x v="2"/>
    <n v="0"/>
    <x v="0"/>
    <x v="2"/>
  </r>
  <r>
    <x v="491"/>
    <x v="2"/>
    <x v="2"/>
    <x v="6"/>
    <x v="124"/>
    <x v="1"/>
    <x v="0"/>
    <x v="16"/>
    <d v="2024-04-23T00:00:00"/>
    <n v="0"/>
    <x v="0"/>
    <x v="3"/>
    <n v="0"/>
    <x v="0"/>
    <x v="3"/>
  </r>
  <r>
    <x v="492"/>
    <x v="2"/>
    <x v="2"/>
    <x v="3"/>
    <x v="126"/>
    <x v="1"/>
    <x v="4"/>
    <x v="31"/>
    <d v="2024-05-02T00:00:00"/>
    <n v="0"/>
    <x v="0"/>
    <x v="4"/>
    <n v="0"/>
    <x v="0"/>
    <x v="4"/>
  </r>
  <r>
    <x v="493"/>
    <x v="2"/>
    <x v="5"/>
    <x v="4"/>
    <x v="128"/>
    <x v="0"/>
    <x v="0"/>
    <x v="4"/>
    <d v="2024-01-13T00:00:00"/>
    <n v="0"/>
    <x v="0"/>
    <x v="2"/>
    <n v="0"/>
    <x v="0"/>
    <x v="2"/>
  </r>
  <r>
    <x v="494"/>
    <x v="2"/>
    <x v="14"/>
    <x v="0"/>
    <x v="131"/>
    <x v="1"/>
    <x v="2"/>
    <x v="85"/>
    <d v="2024-01-11T00:00:00"/>
    <n v="0"/>
    <x v="0"/>
    <x v="2"/>
    <n v="0"/>
    <x v="0"/>
    <x v="2"/>
  </r>
  <r>
    <x v="495"/>
    <x v="2"/>
    <x v="14"/>
    <x v="5"/>
    <x v="144"/>
    <x v="0"/>
    <x v="0"/>
    <x v="78"/>
    <d v="2024-04-11T00:00:00"/>
    <n v="0"/>
    <x v="0"/>
    <x v="3"/>
    <n v="0"/>
    <x v="0"/>
    <x v="3"/>
  </r>
  <r>
    <x v="496"/>
    <x v="2"/>
    <x v="5"/>
    <x v="2"/>
    <x v="160"/>
    <x v="0"/>
    <x v="0"/>
    <x v="100"/>
    <d v="2024-03-11T00:00:00"/>
    <n v="0"/>
    <x v="0"/>
    <x v="5"/>
    <n v="0"/>
    <x v="0"/>
    <x v="5"/>
  </r>
  <r>
    <x v="497"/>
    <x v="2"/>
    <x v="5"/>
    <x v="0"/>
    <x v="162"/>
    <x v="2"/>
    <x v="0"/>
    <x v="14"/>
    <d v="2024-01-05T00:00:00"/>
    <n v="0"/>
    <x v="0"/>
    <x v="2"/>
    <n v="0"/>
    <x v="0"/>
    <x v="2"/>
  </r>
  <r>
    <x v="498"/>
    <x v="2"/>
    <x v="5"/>
    <x v="3"/>
    <x v="166"/>
    <x v="0"/>
    <x v="5"/>
    <x v="86"/>
    <d v="2024-03-30T00:00:00"/>
    <n v="0"/>
    <x v="0"/>
    <x v="5"/>
    <n v="0"/>
    <x v="0"/>
    <x v="5"/>
  </r>
  <r>
    <x v="499"/>
    <x v="2"/>
    <x v="2"/>
    <x v="3"/>
    <x v="178"/>
    <x v="2"/>
    <x v="0"/>
    <x v="110"/>
    <d v="2024-04-20T00:00:00"/>
    <n v="0"/>
    <x v="0"/>
    <x v="3"/>
    <n v="0"/>
    <x v="0"/>
    <x v="3"/>
  </r>
  <r>
    <x v="500"/>
    <x v="2"/>
    <x v="2"/>
    <x v="1"/>
    <x v="179"/>
    <x v="2"/>
    <x v="1"/>
    <x v="45"/>
    <d v="2024-05-19T00:00:00"/>
    <n v="0"/>
    <x v="0"/>
    <x v="4"/>
    <n v="0"/>
    <x v="0"/>
    <x v="4"/>
  </r>
  <r>
    <x v="501"/>
    <x v="2"/>
    <x v="5"/>
    <x v="5"/>
    <x v="180"/>
    <x v="1"/>
    <x v="4"/>
    <x v="59"/>
    <d v="2024-02-14T00:00:00"/>
    <n v="0"/>
    <x v="0"/>
    <x v="0"/>
    <n v="0"/>
    <x v="0"/>
    <x v="0"/>
  </r>
  <r>
    <x v="502"/>
    <x v="2"/>
    <x v="14"/>
    <x v="6"/>
    <x v="182"/>
    <x v="0"/>
    <x v="0"/>
    <x v="1"/>
    <d v="2024-06-02T00:00:00"/>
    <n v="0"/>
    <x v="0"/>
    <x v="1"/>
    <n v="0"/>
    <x v="0"/>
    <x v="1"/>
  </r>
  <r>
    <x v="503"/>
    <x v="2"/>
    <x v="5"/>
    <x v="4"/>
    <x v="189"/>
    <x v="2"/>
    <x v="2"/>
    <x v="81"/>
    <d v="2024-06-07T00:00:00"/>
    <n v="0"/>
    <x v="0"/>
    <x v="1"/>
    <n v="0"/>
    <x v="0"/>
    <x v="1"/>
  </r>
  <r>
    <x v="504"/>
    <x v="2"/>
    <x v="2"/>
    <x v="3"/>
    <x v="190"/>
    <x v="1"/>
    <x v="4"/>
    <x v="43"/>
    <d v="2024-01-01T00:00:00"/>
    <n v="0"/>
    <x v="0"/>
    <x v="2"/>
    <n v="0"/>
    <x v="0"/>
    <x v="2"/>
  </r>
  <r>
    <x v="505"/>
    <x v="2"/>
    <x v="2"/>
    <x v="3"/>
    <x v="192"/>
    <x v="0"/>
    <x v="3"/>
    <x v="114"/>
    <d v="2024-01-19T00:00:00"/>
    <n v="0"/>
    <x v="0"/>
    <x v="2"/>
    <n v="0"/>
    <x v="0"/>
    <x v="2"/>
  </r>
  <r>
    <x v="506"/>
    <x v="2"/>
    <x v="2"/>
    <x v="2"/>
    <x v="2"/>
    <x v="1"/>
    <x v="2"/>
    <x v="2"/>
    <d v="2024-02-09T00:00:00"/>
    <n v="0"/>
    <x v="0"/>
    <x v="0"/>
    <n v="0"/>
    <x v="0"/>
    <x v="0"/>
  </r>
  <r>
    <x v="507"/>
    <x v="2"/>
    <x v="5"/>
    <x v="0"/>
    <x v="6"/>
    <x v="2"/>
    <x v="4"/>
    <x v="6"/>
    <d v="2024-01-24T00:00:00"/>
    <n v="1"/>
    <x v="1"/>
    <x v="2"/>
    <n v="1"/>
    <x v="1"/>
    <x v="2"/>
  </r>
  <r>
    <x v="508"/>
    <x v="2"/>
    <x v="5"/>
    <x v="2"/>
    <x v="7"/>
    <x v="0"/>
    <x v="2"/>
    <x v="7"/>
    <d v="2024-04-18T00:00:00"/>
    <n v="0"/>
    <x v="0"/>
    <x v="3"/>
    <n v="0"/>
    <x v="0"/>
    <x v="3"/>
  </r>
  <r>
    <x v="509"/>
    <x v="2"/>
    <x v="5"/>
    <x v="3"/>
    <x v="20"/>
    <x v="2"/>
    <x v="0"/>
    <x v="18"/>
    <d v="2024-02-07T00:00:00"/>
    <n v="0"/>
    <x v="0"/>
    <x v="0"/>
    <n v="0"/>
    <x v="0"/>
    <x v="0"/>
  </r>
  <r>
    <x v="510"/>
    <x v="2"/>
    <x v="5"/>
    <x v="3"/>
    <x v="30"/>
    <x v="2"/>
    <x v="0"/>
    <x v="25"/>
    <d v="2024-05-18T00:00:00"/>
    <n v="0"/>
    <x v="0"/>
    <x v="4"/>
    <n v="0"/>
    <x v="0"/>
    <x v="4"/>
  </r>
  <r>
    <x v="511"/>
    <x v="2"/>
    <x v="2"/>
    <x v="3"/>
    <x v="44"/>
    <x v="2"/>
    <x v="3"/>
    <x v="37"/>
    <d v="2024-01-30T00:00:00"/>
    <n v="0"/>
    <x v="0"/>
    <x v="2"/>
    <n v="0"/>
    <x v="0"/>
    <x v="2"/>
  </r>
  <r>
    <x v="512"/>
    <x v="2"/>
    <x v="2"/>
    <x v="5"/>
    <x v="45"/>
    <x v="2"/>
    <x v="1"/>
    <x v="38"/>
    <d v="2024-05-06T00:00:00"/>
    <n v="0"/>
    <x v="0"/>
    <x v="4"/>
    <n v="0"/>
    <x v="0"/>
    <x v="4"/>
  </r>
  <r>
    <x v="513"/>
    <x v="2"/>
    <x v="14"/>
    <x v="1"/>
    <x v="52"/>
    <x v="0"/>
    <x v="3"/>
    <x v="44"/>
    <d v="2024-05-11T00:00:00"/>
    <n v="0"/>
    <x v="0"/>
    <x v="4"/>
    <n v="0"/>
    <x v="0"/>
    <x v="4"/>
  </r>
  <r>
    <x v="514"/>
    <x v="2"/>
    <x v="5"/>
    <x v="3"/>
    <x v="61"/>
    <x v="2"/>
    <x v="2"/>
    <x v="25"/>
    <d v="2024-05-18T00:00:00"/>
    <n v="0"/>
    <x v="0"/>
    <x v="4"/>
    <n v="0"/>
    <x v="0"/>
    <x v="4"/>
  </r>
  <r>
    <x v="515"/>
    <x v="2"/>
    <x v="5"/>
    <x v="3"/>
    <x v="64"/>
    <x v="2"/>
    <x v="0"/>
    <x v="50"/>
    <d v="2024-05-09T00:00:00"/>
    <n v="0"/>
    <x v="0"/>
    <x v="4"/>
    <n v="0"/>
    <x v="0"/>
    <x v="4"/>
  </r>
  <r>
    <x v="516"/>
    <x v="2"/>
    <x v="14"/>
    <x v="2"/>
    <x v="65"/>
    <x v="2"/>
    <x v="0"/>
    <x v="51"/>
    <d v="2024-01-18T00:00:00"/>
    <n v="0"/>
    <x v="0"/>
    <x v="2"/>
    <n v="0"/>
    <x v="0"/>
    <x v="2"/>
  </r>
  <r>
    <x v="517"/>
    <x v="2"/>
    <x v="2"/>
    <x v="1"/>
    <x v="67"/>
    <x v="1"/>
    <x v="1"/>
    <x v="52"/>
    <d v="2024-04-24T00:00:00"/>
    <n v="0"/>
    <x v="0"/>
    <x v="3"/>
    <n v="0"/>
    <x v="0"/>
    <x v="3"/>
  </r>
  <r>
    <x v="518"/>
    <x v="2"/>
    <x v="14"/>
    <x v="0"/>
    <x v="69"/>
    <x v="0"/>
    <x v="3"/>
    <x v="54"/>
    <d v="2024-04-26T00:00:00"/>
    <n v="0"/>
    <x v="0"/>
    <x v="3"/>
    <n v="0"/>
    <x v="0"/>
    <x v="3"/>
  </r>
  <r>
    <x v="519"/>
    <x v="2"/>
    <x v="14"/>
    <x v="1"/>
    <x v="71"/>
    <x v="0"/>
    <x v="2"/>
    <x v="34"/>
    <d v="2024-04-15T00:00:00"/>
    <n v="0"/>
    <x v="0"/>
    <x v="3"/>
    <n v="0"/>
    <x v="0"/>
    <x v="3"/>
  </r>
  <r>
    <x v="520"/>
    <x v="2"/>
    <x v="2"/>
    <x v="6"/>
    <x v="78"/>
    <x v="0"/>
    <x v="2"/>
    <x v="48"/>
    <d v="2024-05-04T00:00:00"/>
    <n v="0"/>
    <x v="0"/>
    <x v="4"/>
    <n v="0"/>
    <x v="0"/>
    <x v="4"/>
  </r>
  <r>
    <x v="521"/>
    <x v="2"/>
    <x v="14"/>
    <x v="4"/>
    <x v="80"/>
    <x v="0"/>
    <x v="3"/>
    <x v="60"/>
    <d v="2024-03-05T00:00:00"/>
    <n v="0"/>
    <x v="0"/>
    <x v="5"/>
    <n v="0"/>
    <x v="0"/>
    <x v="5"/>
  </r>
  <r>
    <x v="522"/>
    <x v="2"/>
    <x v="5"/>
    <x v="4"/>
    <x v="84"/>
    <x v="0"/>
    <x v="2"/>
    <x v="21"/>
    <d v="2024-03-26T00:00:00"/>
    <n v="0"/>
    <x v="0"/>
    <x v="5"/>
    <n v="0"/>
    <x v="0"/>
    <x v="5"/>
  </r>
  <r>
    <x v="523"/>
    <x v="2"/>
    <x v="14"/>
    <x v="3"/>
    <x v="86"/>
    <x v="1"/>
    <x v="1"/>
    <x v="61"/>
    <d v="2024-04-27T00:00:00"/>
    <n v="0"/>
    <x v="0"/>
    <x v="3"/>
    <n v="0"/>
    <x v="0"/>
    <x v="3"/>
  </r>
  <r>
    <x v="524"/>
    <x v="2"/>
    <x v="14"/>
    <x v="3"/>
    <x v="92"/>
    <x v="2"/>
    <x v="5"/>
    <x v="40"/>
    <d v="2024-03-21T00:00:00"/>
    <n v="0"/>
    <x v="0"/>
    <x v="5"/>
    <n v="0"/>
    <x v="0"/>
    <x v="5"/>
  </r>
  <r>
    <x v="525"/>
    <x v="2"/>
    <x v="2"/>
    <x v="6"/>
    <x v="97"/>
    <x v="2"/>
    <x v="0"/>
    <x v="60"/>
    <d v="2024-03-05T00:00:00"/>
    <n v="0"/>
    <x v="0"/>
    <x v="5"/>
    <n v="0"/>
    <x v="0"/>
    <x v="5"/>
  </r>
  <r>
    <x v="526"/>
    <x v="2"/>
    <x v="5"/>
    <x v="6"/>
    <x v="101"/>
    <x v="2"/>
    <x v="1"/>
    <x v="71"/>
    <d v="2024-05-03T00:00:00"/>
    <n v="0"/>
    <x v="0"/>
    <x v="4"/>
    <n v="0"/>
    <x v="0"/>
    <x v="4"/>
  </r>
  <r>
    <x v="527"/>
    <x v="2"/>
    <x v="5"/>
    <x v="7"/>
    <x v="104"/>
    <x v="0"/>
    <x v="3"/>
    <x v="72"/>
    <d v="2024-04-30T00:00:00"/>
    <n v="0"/>
    <x v="0"/>
    <x v="3"/>
    <n v="0"/>
    <x v="0"/>
    <x v="3"/>
  </r>
  <r>
    <x v="528"/>
    <x v="2"/>
    <x v="5"/>
    <x v="3"/>
    <x v="107"/>
    <x v="2"/>
    <x v="1"/>
    <x v="60"/>
    <d v="2024-03-05T00:00:00"/>
    <n v="0"/>
    <x v="0"/>
    <x v="5"/>
    <n v="0"/>
    <x v="0"/>
    <x v="5"/>
  </r>
  <r>
    <x v="529"/>
    <x v="2"/>
    <x v="2"/>
    <x v="3"/>
    <x v="108"/>
    <x v="2"/>
    <x v="2"/>
    <x v="25"/>
    <d v="2024-05-18T00:00:00"/>
    <n v="0"/>
    <x v="0"/>
    <x v="4"/>
    <n v="0"/>
    <x v="0"/>
    <x v="4"/>
  </r>
  <r>
    <x v="530"/>
    <x v="2"/>
    <x v="14"/>
    <x v="3"/>
    <x v="111"/>
    <x v="1"/>
    <x v="4"/>
    <x v="75"/>
    <d v="2024-01-22T00:00:00"/>
    <n v="0"/>
    <x v="0"/>
    <x v="2"/>
    <n v="0"/>
    <x v="0"/>
    <x v="2"/>
  </r>
  <r>
    <x v="531"/>
    <x v="2"/>
    <x v="2"/>
    <x v="4"/>
    <x v="115"/>
    <x v="1"/>
    <x v="1"/>
    <x v="79"/>
    <d v="2024-05-20T00:00:00"/>
    <n v="0"/>
    <x v="0"/>
    <x v="4"/>
    <n v="0"/>
    <x v="0"/>
    <x v="4"/>
  </r>
  <r>
    <x v="532"/>
    <x v="2"/>
    <x v="14"/>
    <x v="5"/>
    <x v="116"/>
    <x v="2"/>
    <x v="5"/>
    <x v="14"/>
    <d v="2024-01-05T00:00:00"/>
    <n v="0"/>
    <x v="0"/>
    <x v="2"/>
    <n v="0"/>
    <x v="0"/>
    <x v="2"/>
  </r>
  <r>
    <x v="533"/>
    <x v="2"/>
    <x v="2"/>
    <x v="6"/>
    <x v="124"/>
    <x v="1"/>
    <x v="0"/>
    <x v="16"/>
    <d v="2024-04-23T00:00:00"/>
    <n v="0"/>
    <x v="0"/>
    <x v="3"/>
    <n v="0"/>
    <x v="0"/>
    <x v="3"/>
  </r>
  <r>
    <x v="534"/>
    <x v="2"/>
    <x v="2"/>
    <x v="3"/>
    <x v="126"/>
    <x v="1"/>
    <x v="4"/>
    <x v="31"/>
    <d v="2024-05-02T00:00:00"/>
    <n v="0"/>
    <x v="0"/>
    <x v="4"/>
    <n v="0"/>
    <x v="0"/>
    <x v="4"/>
  </r>
  <r>
    <x v="535"/>
    <x v="2"/>
    <x v="5"/>
    <x v="4"/>
    <x v="128"/>
    <x v="0"/>
    <x v="0"/>
    <x v="4"/>
    <d v="2024-01-13T00:00:00"/>
    <n v="0"/>
    <x v="0"/>
    <x v="2"/>
    <n v="0"/>
    <x v="0"/>
    <x v="2"/>
  </r>
  <r>
    <x v="536"/>
    <x v="2"/>
    <x v="14"/>
    <x v="0"/>
    <x v="131"/>
    <x v="1"/>
    <x v="2"/>
    <x v="85"/>
    <d v="2024-01-11T00:00:00"/>
    <n v="0"/>
    <x v="0"/>
    <x v="2"/>
    <n v="0"/>
    <x v="0"/>
    <x v="2"/>
  </r>
  <r>
    <x v="537"/>
    <x v="2"/>
    <x v="14"/>
    <x v="5"/>
    <x v="144"/>
    <x v="0"/>
    <x v="0"/>
    <x v="78"/>
    <d v="2024-04-11T00:00:00"/>
    <n v="0"/>
    <x v="0"/>
    <x v="3"/>
    <n v="0"/>
    <x v="0"/>
    <x v="3"/>
  </r>
  <r>
    <x v="538"/>
    <x v="2"/>
    <x v="5"/>
    <x v="2"/>
    <x v="160"/>
    <x v="0"/>
    <x v="0"/>
    <x v="100"/>
    <d v="2024-03-11T00:00:00"/>
    <n v="0"/>
    <x v="0"/>
    <x v="5"/>
    <n v="0"/>
    <x v="0"/>
    <x v="5"/>
  </r>
  <r>
    <x v="539"/>
    <x v="2"/>
    <x v="5"/>
    <x v="0"/>
    <x v="162"/>
    <x v="2"/>
    <x v="0"/>
    <x v="14"/>
    <d v="2024-01-05T00:00:00"/>
    <n v="0"/>
    <x v="0"/>
    <x v="2"/>
    <n v="0"/>
    <x v="0"/>
    <x v="2"/>
  </r>
  <r>
    <x v="540"/>
    <x v="2"/>
    <x v="5"/>
    <x v="3"/>
    <x v="166"/>
    <x v="0"/>
    <x v="5"/>
    <x v="86"/>
    <d v="2024-03-30T00:00:00"/>
    <n v="0"/>
    <x v="0"/>
    <x v="5"/>
    <n v="0"/>
    <x v="0"/>
    <x v="5"/>
  </r>
  <r>
    <x v="541"/>
    <x v="2"/>
    <x v="2"/>
    <x v="3"/>
    <x v="178"/>
    <x v="2"/>
    <x v="0"/>
    <x v="110"/>
    <d v="2024-04-20T00:00:00"/>
    <n v="0"/>
    <x v="0"/>
    <x v="3"/>
    <n v="0"/>
    <x v="0"/>
    <x v="3"/>
  </r>
  <r>
    <x v="542"/>
    <x v="2"/>
    <x v="2"/>
    <x v="1"/>
    <x v="179"/>
    <x v="2"/>
    <x v="1"/>
    <x v="45"/>
    <d v="2024-05-19T00:00:00"/>
    <n v="0"/>
    <x v="0"/>
    <x v="4"/>
    <n v="0"/>
    <x v="0"/>
    <x v="4"/>
  </r>
  <r>
    <x v="543"/>
    <x v="2"/>
    <x v="5"/>
    <x v="5"/>
    <x v="180"/>
    <x v="1"/>
    <x v="4"/>
    <x v="59"/>
    <d v="2024-02-14T00:00:00"/>
    <n v="0"/>
    <x v="0"/>
    <x v="0"/>
    <n v="0"/>
    <x v="0"/>
    <x v="0"/>
  </r>
  <r>
    <x v="544"/>
    <x v="2"/>
    <x v="14"/>
    <x v="6"/>
    <x v="182"/>
    <x v="0"/>
    <x v="0"/>
    <x v="1"/>
    <d v="2024-06-02T00:00:00"/>
    <n v="0"/>
    <x v="0"/>
    <x v="1"/>
    <n v="0"/>
    <x v="0"/>
    <x v="1"/>
  </r>
  <r>
    <x v="545"/>
    <x v="2"/>
    <x v="5"/>
    <x v="4"/>
    <x v="189"/>
    <x v="2"/>
    <x v="2"/>
    <x v="81"/>
    <d v="2024-06-07T00:00:00"/>
    <n v="0"/>
    <x v="0"/>
    <x v="1"/>
    <n v="0"/>
    <x v="0"/>
    <x v="1"/>
  </r>
  <r>
    <x v="546"/>
    <x v="2"/>
    <x v="2"/>
    <x v="3"/>
    <x v="190"/>
    <x v="1"/>
    <x v="4"/>
    <x v="43"/>
    <d v="2024-01-01T00:00:00"/>
    <n v="0"/>
    <x v="0"/>
    <x v="2"/>
    <n v="0"/>
    <x v="0"/>
    <x v="2"/>
  </r>
  <r>
    <x v="547"/>
    <x v="2"/>
    <x v="2"/>
    <x v="3"/>
    <x v="192"/>
    <x v="0"/>
    <x v="3"/>
    <x v="114"/>
    <d v="2024-01-19T00:00:00"/>
    <n v="0"/>
    <x v="0"/>
    <x v="2"/>
    <n v="0"/>
    <x v="0"/>
    <x v="2"/>
  </r>
  <r>
    <x v="548"/>
    <x v="2"/>
    <x v="14"/>
    <x v="3"/>
    <x v="86"/>
    <x v="1"/>
    <x v="1"/>
    <x v="61"/>
    <d v="2024-04-27T00:00:00"/>
    <n v="0"/>
    <x v="0"/>
    <x v="3"/>
    <n v="0"/>
    <x v="0"/>
    <x v="3"/>
  </r>
  <r>
    <x v="549"/>
    <x v="2"/>
    <x v="14"/>
    <x v="3"/>
    <x v="92"/>
    <x v="2"/>
    <x v="5"/>
    <x v="40"/>
    <d v="2024-03-21T00:00:00"/>
    <n v="0"/>
    <x v="0"/>
    <x v="5"/>
    <n v="0"/>
    <x v="0"/>
    <x v="5"/>
  </r>
  <r>
    <x v="550"/>
    <x v="2"/>
    <x v="2"/>
    <x v="6"/>
    <x v="97"/>
    <x v="2"/>
    <x v="0"/>
    <x v="60"/>
    <d v="2024-03-05T00:00:00"/>
    <n v="0"/>
    <x v="0"/>
    <x v="5"/>
    <n v="0"/>
    <x v="0"/>
    <x v="5"/>
  </r>
  <r>
    <x v="551"/>
    <x v="2"/>
    <x v="5"/>
    <x v="6"/>
    <x v="101"/>
    <x v="2"/>
    <x v="1"/>
    <x v="71"/>
    <d v="2024-05-03T00:00:00"/>
    <n v="0"/>
    <x v="0"/>
    <x v="4"/>
    <n v="0"/>
    <x v="0"/>
    <x v="4"/>
  </r>
  <r>
    <x v="552"/>
    <x v="2"/>
    <x v="5"/>
    <x v="7"/>
    <x v="104"/>
    <x v="0"/>
    <x v="3"/>
    <x v="72"/>
    <d v="2024-04-30T00:00:00"/>
    <n v="0"/>
    <x v="0"/>
    <x v="3"/>
    <n v="0"/>
    <x v="0"/>
    <x v="3"/>
  </r>
  <r>
    <x v="553"/>
    <x v="2"/>
    <x v="5"/>
    <x v="2"/>
    <x v="107"/>
    <x v="2"/>
    <x v="1"/>
    <x v="60"/>
    <d v="2024-03-05T00:00:00"/>
    <n v="0"/>
    <x v="0"/>
    <x v="5"/>
    <n v="0"/>
    <x v="0"/>
    <x v="5"/>
  </r>
  <r>
    <x v="554"/>
    <x v="2"/>
    <x v="2"/>
    <x v="3"/>
    <x v="108"/>
    <x v="2"/>
    <x v="2"/>
    <x v="25"/>
    <d v="2024-05-18T00:00:00"/>
    <n v="0"/>
    <x v="0"/>
    <x v="4"/>
    <n v="0"/>
    <x v="0"/>
    <x v="4"/>
  </r>
  <r>
    <x v="555"/>
    <x v="2"/>
    <x v="14"/>
    <x v="3"/>
    <x v="111"/>
    <x v="1"/>
    <x v="4"/>
    <x v="75"/>
    <d v="2024-01-22T00:00:00"/>
    <n v="0"/>
    <x v="0"/>
    <x v="2"/>
    <n v="0"/>
    <x v="0"/>
    <x v="2"/>
  </r>
  <r>
    <x v="556"/>
    <x v="2"/>
    <x v="2"/>
    <x v="4"/>
    <x v="115"/>
    <x v="1"/>
    <x v="1"/>
    <x v="79"/>
    <d v="2024-05-20T00:00:00"/>
    <n v="0"/>
    <x v="0"/>
    <x v="4"/>
    <n v="0"/>
    <x v="0"/>
    <x v="4"/>
  </r>
  <r>
    <x v="557"/>
    <x v="2"/>
    <x v="14"/>
    <x v="5"/>
    <x v="116"/>
    <x v="2"/>
    <x v="5"/>
    <x v="14"/>
    <d v="2024-01-05T00:00:00"/>
    <n v="0"/>
    <x v="0"/>
    <x v="2"/>
    <n v="0"/>
    <x v="0"/>
    <x v="2"/>
  </r>
  <r>
    <x v="558"/>
    <x v="2"/>
    <x v="2"/>
    <x v="1"/>
    <x v="124"/>
    <x v="1"/>
    <x v="0"/>
    <x v="16"/>
    <d v="2024-04-23T00:00:00"/>
    <n v="0"/>
    <x v="0"/>
    <x v="3"/>
    <n v="0"/>
    <x v="0"/>
    <x v="3"/>
  </r>
  <r>
    <x v="559"/>
    <x v="2"/>
    <x v="2"/>
    <x v="3"/>
    <x v="126"/>
    <x v="1"/>
    <x v="4"/>
    <x v="31"/>
    <d v="2024-05-02T00:00:00"/>
    <n v="0"/>
    <x v="0"/>
    <x v="4"/>
    <n v="0"/>
    <x v="0"/>
    <x v="4"/>
  </r>
  <r>
    <x v="560"/>
    <x v="2"/>
    <x v="5"/>
    <x v="4"/>
    <x v="128"/>
    <x v="0"/>
    <x v="0"/>
    <x v="4"/>
    <d v="2024-01-13T00:00:00"/>
    <n v="0"/>
    <x v="0"/>
    <x v="2"/>
    <n v="0"/>
    <x v="0"/>
    <x v="2"/>
  </r>
  <r>
    <x v="561"/>
    <x v="2"/>
    <x v="14"/>
    <x v="0"/>
    <x v="131"/>
    <x v="1"/>
    <x v="2"/>
    <x v="85"/>
    <d v="2024-01-11T00:00:00"/>
    <n v="0"/>
    <x v="0"/>
    <x v="2"/>
    <n v="0"/>
    <x v="0"/>
    <x v="2"/>
  </r>
  <r>
    <x v="562"/>
    <x v="2"/>
    <x v="14"/>
    <x v="5"/>
    <x v="144"/>
    <x v="0"/>
    <x v="0"/>
    <x v="78"/>
    <d v="2024-04-11T00:00:00"/>
    <n v="0"/>
    <x v="0"/>
    <x v="3"/>
    <n v="0"/>
    <x v="0"/>
    <x v="3"/>
  </r>
  <r>
    <x v="563"/>
    <x v="0"/>
    <x v="0"/>
    <x v="0"/>
    <x v="0"/>
    <x v="0"/>
    <x v="0"/>
    <x v="120"/>
    <d v="2024-08-20T00:00:00"/>
    <n v="0"/>
    <x v="0"/>
    <x v="6"/>
    <n v="0"/>
    <x v="0"/>
    <x v="6"/>
  </r>
  <r>
    <x v="564"/>
    <x v="1"/>
    <x v="1"/>
    <x v="1"/>
    <x v="1"/>
    <x v="1"/>
    <x v="1"/>
    <x v="121"/>
    <d v="2024-12-02T00:00:00"/>
    <n v="0"/>
    <x v="0"/>
    <x v="7"/>
    <n v="0"/>
    <x v="0"/>
    <x v="7"/>
  </r>
  <r>
    <x v="565"/>
    <x v="2"/>
    <x v="2"/>
    <x v="2"/>
    <x v="2"/>
    <x v="1"/>
    <x v="2"/>
    <x v="122"/>
    <d v="2024-08-09T00:00:00"/>
    <n v="0"/>
    <x v="0"/>
    <x v="6"/>
    <n v="0"/>
    <x v="0"/>
    <x v="6"/>
  </r>
  <r>
    <x v="566"/>
    <x v="3"/>
    <x v="3"/>
    <x v="3"/>
    <x v="3"/>
    <x v="2"/>
    <x v="0"/>
    <x v="123"/>
    <d v="2024-12-01T00:00:00"/>
    <n v="0"/>
    <x v="0"/>
    <x v="7"/>
    <n v="0"/>
    <x v="0"/>
    <x v="7"/>
  </r>
  <r>
    <x v="567"/>
    <x v="4"/>
    <x v="4"/>
    <x v="1"/>
    <x v="4"/>
    <x v="2"/>
    <x v="3"/>
    <x v="124"/>
    <d v="2024-07-13T00:00:00"/>
    <n v="0"/>
    <x v="0"/>
    <x v="8"/>
    <n v="0"/>
    <x v="0"/>
    <x v="8"/>
  </r>
  <r>
    <x v="568"/>
    <x v="1"/>
    <x v="1"/>
    <x v="0"/>
    <x v="5"/>
    <x v="2"/>
    <x v="4"/>
    <x v="125"/>
    <d v="2024-08-16T00:00:00"/>
    <n v="0"/>
    <x v="0"/>
    <x v="6"/>
    <n v="0"/>
    <x v="0"/>
    <x v="6"/>
  </r>
  <r>
    <x v="569"/>
    <x v="2"/>
    <x v="5"/>
    <x v="0"/>
    <x v="6"/>
    <x v="2"/>
    <x v="3"/>
    <x v="126"/>
    <d v="2024-07-23T00:00:00"/>
    <n v="0"/>
    <x v="0"/>
    <x v="8"/>
    <n v="0"/>
    <x v="0"/>
    <x v="8"/>
  </r>
  <r>
    <x v="570"/>
    <x v="2"/>
    <x v="5"/>
    <x v="3"/>
    <x v="7"/>
    <x v="0"/>
    <x v="2"/>
    <x v="127"/>
    <d v="2024-10-18T00:00:00"/>
    <n v="0"/>
    <x v="0"/>
    <x v="9"/>
    <n v="0"/>
    <x v="0"/>
    <x v="9"/>
  </r>
  <r>
    <x v="571"/>
    <x v="0"/>
    <x v="0"/>
    <x v="3"/>
    <x v="8"/>
    <x v="2"/>
    <x v="5"/>
    <x v="128"/>
    <d v="2024-11-17T00:00:00"/>
    <n v="1"/>
    <x v="1"/>
    <x v="10"/>
    <n v="1"/>
    <x v="1"/>
    <x v="10"/>
  </r>
  <r>
    <x v="572"/>
    <x v="3"/>
    <x v="6"/>
    <x v="3"/>
    <x v="9"/>
    <x v="1"/>
    <x v="3"/>
    <x v="129"/>
    <d v="2024-10-02T00:00:00"/>
    <n v="0"/>
    <x v="0"/>
    <x v="9"/>
    <n v="0"/>
    <x v="0"/>
    <x v="9"/>
  </r>
  <r>
    <x v="573"/>
    <x v="0"/>
    <x v="7"/>
    <x v="1"/>
    <x v="10"/>
    <x v="1"/>
    <x v="2"/>
    <x v="130"/>
    <d v="2024-11-26T00:00:00"/>
    <n v="1"/>
    <x v="1"/>
    <x v="10"/>
    <n v="1"/>
    <x v="1"/>
    <x v="10"/>
  </r>
  <r>
    <x v="574"/>
    <x v="0"/>
    <x v="8"/>
    <x v="3"/>
    <x v="11"/>
    <x v="2"/>
    <x v="4"/>
    <x v="131"/>
    <d v="2024-12-08T00:00:00"/>
    <n v="0"/>
    <x v="0"/>
    <x v="7"/>
    <n v="0"/>
    <x v="0"/>
    <x v="7"/>
  </r>
  <r>
    <x v="575"/>
    <x v="3"/>
    <x v="3"/>
    <x v="3"/>
    <x v="12"/>
    <x v="1"/>
    <x v="5"/>
    <x v="132"/>
    <d v="2024-08-22T00:00:00"/>
    <n v="0"/>
    <x v="0"/>
    <x v="6"/>
    <n v="0"/>
    <x v="0"/>
    <x v="6"/>
  </r>
  <r>
    <x v="576"/>
    <x v="0"/>
    <x v="0"/>
    <x v="4"/>
    <x v="13"/>
    <x v="0"/>
    <x v="2"/>
    <x v="120"/>
    <d v="2024-08-20T00:00:00"/>
    <n v="0"/>
    <x v="0"/>
    <x v="6"/>
    <n v="0"/>
    <x v="0"/>
    <x v="6"/>
  </r>
  <r>
    <x v="577"/>
    <x v="3"/>
    <x v="9"/>
    <x v="4"/>
    <x v="14"/>
    <x v="0"/>
    <x v="0"/>
    <x v="133"/>
    <d v="2024-12-09T00:00:00"/>
    <n v="0"/>
    <x v="0"/>
    <x v="7"/>
    <n v="0"/>
    <x v="0"/>
    <x v="7"/>
  </r>
  <r>
    <x v="578"/>
    <x v="0"/>
    <x v="8"/>
    <x v="2"/>
    <x v="15"/>
    <x v="2"/>
    <x v="1"/>
    <x v="134"/>
    <d v="2024-07-05T00:00:00"/>
    <n v="0"/>
    <x v="0"/>
    <x v="8"/>
    <n v="0"/>
    <x v="0"/>
    <x v="8"/>
  </r>
  <r>
    <x v="579"/>
    <x v="0"/>
    <x v="7"/>
    <x v="3"/>
    <x v="16"/>
    <x v="0"/>
    <x v="0"/>
    <x v="135"/>
    <d v="2024-09-10T00:00:00"/>
    <n v="0"/>
    <x v="0"/>
    <x v="11"/>
    <n v="0"/>
    <x v="0"/>
    <x v="11"/>
  </r>
  <r>
    <x v="580"/>
    <x v="1"/>
    <x v="10"/>
    <x v="3"/>
    <x v="17"/>
    <x v="2"/>
    <x v="0"/>
    <x v="136"/>
    <d v="2024-10-23T00:00:00"/>
    <n v="0"/>
    <x v="0"/>
    <x v="9"/>
    <n v="0"/>
    <x v="0"/>
    <x v="9"/>
  </r>
  <r>
    <x v="581"/>
    <x v="0"/>
    <x v="0"/>
    <x v="5"/>
    <x v="18"/>
    <x v="0"/>
    <x v="3"/>
    <x v="134"/>
    <d v="2024-07-05T00:00:00"/>
    <n v="0"/>
    <x v="0"/>
    <x v="8"/>
    <n v="0"/>
    <x v="0"/>
    <x v="8"/>
  </r>
  <r>
    <x v="582"/>
    <x v="0"/>
    <x v="7"/>
    <x v="3"/>
    <x v="19"/>
    <x v="0"/>
    <x v="3"/>
    <x v="137"/>
    <d v="2024-08-04T00:00:00"/>
    <n v="0"/>
    <x v="0"/>
    <x v="6"/>
    <n v="0"/>
    <x v="0"/>
    <x v="6"/>
  </r>
  <r>
    <x v="583"/>
    <x v="2"/>
    <x v="5"/>
    <x v="3"/>
    <x v="20"/>
    <x v="2"/>
    <x v="0"/>
    <x v="138"/>
    <d v="2024-08-07T00:00:00"/>
    <n v="0"/>
    <x v="0"/>
    <x v="6"/>
    <n v="0"/>
    <x v="0"/>
    <x v="6"/>
  </r>
  <r>
    <x v="584"/>
    <x v="3"/>
    <x v="3"/>
    <x v="6"/>
    <x v="21"/>
    <x v="2"/>
    <x v="0"/>
    <x v="139"/>
    <d v="2024-07-10T00:00:00"/>
    <n v="0"/>
    <x v="0"/>
    <x v="8"/>
    <n v="0"/>
    <x v="0"/>
    <x v="8"/>
  </r>
  <r>
    <x v="585"/>
    <x v="3"/>
    <x v="9"/>
    <x v="3"/>
    <x v="22"/>
    <x v="1"/>
    <x v="5"/>
    <x v="140"/>
    <d v="2024-11-02T00:00:00"/>
    <n v="1"/>
    <x v="1"/>
    <x v="10"/>
    <n v="1"/>
    <x v="1"/>
    <x v="10"/>
  </r>
  <r>
    <x v="586"/>
    <x v="0"/>
    <x v="0"/>
    <x v="0"/>
    <x v="23"/>
    <x v="0"/>
    <x v="2"/>
    <x v="141"/>
    <d v="2024-09-27T00:00:00"/>
    <n v="1"/>
    <x v="1"/>
    <x v="11"/>
    <n v="1"/>
    <x v="1"/>
    <x v="11"/>
  </r>
  <r>
    <x v="587"/>
    <x v="1"/>
    <x v="11"/>
    <x v="4"/>
    <x v="24"/>
    <x v="1"/>
    <x v="1"/>
    <x v="142"/>
    <d v="2024-07-31T00:00:00"/>
    <n v="0"/>
    <x v="0"/>
    <x v="8"/>
    <n v="0"/>
    <x v="0"/>
    <x v="8"/>
  </r>
  <r>
    <x v="588"/>
    <x v="4"/>
    <x v="12"/>
    <x v="1"/>
    <x v="25"/>
    <x v="2"/>
    <x v="5"/>
    <x v="143"/>
    <d v="2024-10-10T00:00:00"/>
    <n v="0"/>
    <x v="0"/>
    <x v="9"/>
    <n v="0"/>
    <x v="0"/>
    <x v="9"/>
  </r>
  <r>
    <x v="589"/>
    <x v="4"/>
    <x v="13"/>
    <x v="1"/>
    <x v="26"/>
    <x v="1"/>
    <x v="2"/>
    <x v="144"/>
    <d v="2024-07-24T00:00:00"/>
    <n v="0"/>
    <x v="0"/>
    <x v="8"/>
    <n v="0"/>
    <x v="0"/>
    <x v="8"/>
  </r>
  <r>
    <x v="590"/>
    <x v="1"/>
    <x v="1"/>
    <x v="1"/>
    <x v="27"/>
    <x v="0"/>
    <x v="3"/>
    <x v="139"/>
    <d v="2024-07-10T00:00:00"/>
    <n v="0"/>
    <x v="0"/>
    <x v="8"/>
    <n v="0"/>
    <x v="0"/>
    <x v="8"/>
  </r>
  <r>
    <x v="591"/>
    <x v="1"/>
    <x v="10"/>
    <x v="2"/>
    <x v="28"/>
    <x v="2"/>
    <x v="4"/>
    <x v="126"/>
    <d v="2024-07-23T00:00:00"/>
    <n v="0"/>
    <x v="0"/>
    <x v="8"/>
    <n v="0"/>
    <x v="0"/>
    <x v="8"/>
  </r>
  <r>
    <x v="592"/>
    <x v="0"/>
    <x v="0"/>
    <x v="3"/>
    <x v="29"/>
    <x v="0"/>
    <x v="1"/>
    <x v="142"/>
    <d v="2024-07-31T00:00:00"/>
    <n v="0"/>
    <x v="0"/>
    <x v="8"/>
    <n v="0"/>
    <x v="0"/>
    <x v="8"/>
  </r>
  <r>
    <x v="593"/>
    <x v="2"/>
    <x v="5"/>
    <x v="3"/>
    <x v="30"/>
    <x v="2"/>
    <x v="2"/>
    <x v="145"/>
    <d v="2024-11-19T00:00:00"/>
    <n v="1"/>
    <x v="1"/>
    <x v="10"/>
    <n v="1"/>
    <x v="1"/>
    <x v="10"/>
  </r>
  <r>
    <x v="594"/>
    <x v="0"/>
    <x v="0"/>
    <x v="5"/>
    <x v="31"/>
    <x v="1"/>
    <x v="1"/>
    <x v="146"/>
    <d v="2024-08-08T00:00:00"/>
    <n v="0"/>
    <x v="0"/>
    <x v="6"/>
    <n v="0"/>
    <x v="0"/>
    <x v="6"/>
  </r>
  <r>
    <x v="595"/>
    <x v="0"/>
    <x v="8"/>
    <x v="4"/>
    <x v="32"/>
    <x v="1"/>
    <x v="3"/>
    <x v="124"/>
    <d v="2024-07-13T00:00:00"/>
    <n v="0"/>
    <x v="0"/>
    <x v="8"/>
    <n v="0"/>
    <x v="0"/>
    <x v="8"/>
  </r>
  <r>
    <x v="596"/>
    <x v="3"/>
    <x v="3"/>
    <x v="0"/>
    <x v="33"/>
    <x v="1"/>
    <x v="3"/>
    <x v="147"/>
    <d v="2024-10-26T00:00:00"/>
    <n v="1"/>
    <x v="1"/>
    <x v="9"/>
    <n v="1"/>
    <x v="1"/>
    <x v="9"/>
  </r>
  <r>
    <x v="597"/>
    <x v="0"/>
    <x v="7"/>
    <x v="5"/>
    <x v="34"/>
    <x v="2"/>
    <x v="1"/>
    <x v="148"/>
    <d v="2024-07-28T00:00:00"/>
    <n v="0"/>
    <x v="0"/>
    <x v="8"/>
    <n v="0"/>
    <x v="0"/>
    <x v="8"/>
  </r>
  <r>
    <x v="598"/>
    <x v="3"/>
    <x v="9"/>
    <x v="6"/>
    <x v="35"/>
    <x v="0"/>
    <x v="4"/>
    <x v="149"/>
    <d v="2024-09-07T00:00:00"/>
    <n v="0"/>
    <x v="0"/>
    <x v="11"/>
    <n v="0"/>
    <x v="0"/>
    <x v="11"/>
  </r>
  <r>
    <x v="599"/>
    <x v="0"/>
    <x v="0"/>
    <x v="3"/>
    <x v="36"/>
    <x v="2"/>
    <x v="3"/>
    <x v="150"/>
    <d v="2024-12-06T00:00:00"/>
    <n v="0"/>
    <x v="0"/>
    <x v="7"/>
    <n v="0"/>
    <x v="0"/>
    <x v="7"/>
  </r>
  <r>
    <x v="600"/>
    <x v="1"/>
    <x v="10"/>
    <x v="0"/>
    <x v="37"/>
    <x v="0"/>
    <x v="2"/>
    <x v="151"/>
    <d v="2024-11-02T00:00:00"/>
    <n v="0"/>
    <x v="0"/>
    <x v="10"/>
    <n v="0"/>
    <x v="0"/>
    <x v="10"/>
  </r>
  <r>
    <x v="601"/>
    <x v="1"/>
    <x v="10"/>
    <x v="1"/>
    <x v="38"/>
    <x v="2"/>
    <x v="1"/>
    <x v="137"/>
    <d v="2024-08-04T00:00:00"/>
    <n v="0"/>
    <x v="0"/>
    <x v="6"/>
    <n v="0"/>
    <x v="0"/>
    <x v="6"/>
  </r>
  <r>
    <x v="602"/>
    <x v="0"/>
    <x v="7"/>
    <x v="4"/>
    <x v="39"/>
    <x v="0"/>
    <x v="0"/>
    <x v="152"/>
    <d v="2024-08-23T00:00:00"/>
    <n v="0"/>
    <x v="0"/>
    <x v="6"/>
    <n v="0"/>
    <x v="0"/>
    <x v="6"/>
  </r>
  <r>
    <x v="603"/>
    <x v="4"/>
    <x v="13"/>
    <x v="2"/>
    <x v="40"/>
    <x v="2"/>
    <x v="1"/>
    <x v="153"/>
    <d v="2024-09-09T00:00:00"/>
    <n v="1"/>
    <x v="1"/>
    <x v="11"/>
    <n v="1"/>
    <x v="1"/>
    <x v="11"/>
  </r>
  <r>
    <x v="604"/>
    <x v="4"/>
    <x v="13"/>
    <x v="3"/>
    <x v="41"/>
    <x v="1"/>
    <x v="1"/>
    <x v="154"/>
    <d v="2024-10-15T00:00:00"/>
    <n v="0"/>
    <x v="0"/>
    <x v="9"/>
    <n v="0"/>
    <x v="0"/>
    <x v="9"/>
  </r>
  <r>
    <x v="605"/>
    <x v="0"/>
    <x v="0"/>
    <x v="2"/>
    <x v="42"/>
    <x v="2"/>
    <x v="0"/>
    <x v="155"/>
    <d v="2024-10-12T00:00:00"/>
    <n v="0"/>
    <x v="0"/>
    <x v="9"/>
    <n v="0"/>
    <x v="0"/>
    <x v="9"/>
  </r>
  <r>
    <x v="606"/>
    <x v="1"/>
    <x v="1"/>
    <x v="3"/>
    <x v="43"/>
    <x v="1"/>
    <x v="4"/>
    <x v="156"/>
    <d v="2024-11-23T00:00:00"/>
    <n v="1"/>
    <x v="1"/>
    <x v="10"/>
    <n v="1"/>
    <x v="1"/>
    <x v="10"/>
  </r>
  <r>
    <x v="607"/>
    <x v="2"/>
    <x v="2"/>
    <x v="2"/>
    <x v="44"/>
    <x v="2"/>
    <x v="3"/>
    <x v="157"/>
    <d v="2024-07-30T00:00:00"/>
    <n v="0"/>
    <x v="0"/>
    <x v="8"/>
    <n v="0"/>
    <x v="0"/>
    <x v="8"/>
  </r>
  <r>
    <x v="608"/>
    <x v="2"/>
    <x v="2"/>
    <x v="1"/>
    <x v="45"/>
    <x v="2"/>
    <x v="1"/>
    <x v="158"/>
    <d v="2024-11-07T00:00:00"/>
    <n v="1"/>
    <x v="1"/>
    <x v="10"/>
    <n v="1"/>
    <x v="1"/>
    <x v="10"/>
  </r>
  <r>
    <x v="609"/>
    <x v="0"/>
    <x v="0"/>
    <x v="3"/>
    <x v="46"/>
    <x v="0"/>
    <x v="0"/>
    <x v="159"/>
    <d v="2024-11-27T00:00:00"/>
    <n v="0"/>
    <x v="0"/>
    <x v="10"/>
    <n v="0"/>
    <x v="0"/>
    <x v="10"/>
  </r>
  <r>
    <x v="610"/>
    <x v="0"/>
    <x v="0"/>
    <x v="3"/>
    <x v="47"/>
    <x v="2"/>
    <x v="4"/>
    <x v="160"/>
    <d v="2024-09-21T00:00:00"/>
    <n v="0"/>
    <x v="0"/>
    <x v="11"/>
    <n v="0"/>
    <x v="0"/>
    <x v="11"/>
  </r>
  <r>
    <x v="611"/>
    <x v="4"/>
    <x v="12"/>
    <x v="5"/>
    <x v="48"/>
    <x v="2"/>
    <x v="2"/>
    <x v="161"/>
    <d v="2024-12-27T00:00:00"/>
    <n v="0"/>
    <x v="0"/>
    <x v="7"/>
    <n v="0"/>
    <x v="0"/>
    <x v="7"/>
  </r>
  <r>
    <x v="612"/>
    <x v="4"/>
    <x v="4"/>
    <x v="2"/>
    <x v="49"/>
    <x v="2"/>
    <x v="2"/>
    <x v="162"/>
    <d v="2024-10-08T00:00:00"/>
    <n v="0"/>
    <x v="0"/>
    <x v="9"/>
    <n v="0"/>
    <x v="0"/>
    <x v="9"/>
  </r>
  <r>
    <x v="613"/>
    <x v="4"/>
    <x v="13"/>
    <x v="7"/>
    <x v="50"/>
    <x v="2"/>
    <x v="0"/>
    <x v="163"/>
    <d v="2024-07-01T00:00:00"/>
    <n v="0"/>
    <x v="0"/>
    <x v="8"/>
    <n v="0"/>
    <x v="0"/>
    <x v="8"/>
  </r>
  <r>
    <x v="614"/>
    <x v="0"/>
    <x v="0"/>
    <x v="6"/>
    <x v="51"/>
    <x v="0"/>
    <x v="4"/>
    <x v="133"/>
    <d v="2024-12-09T00:00:00"/>
    <n v="0"/>
    <x v="0"/>
    <x v="7"/>
    <n v="0"/>
    <x v="0"/>
    <x v="7"/>
  </r>
  <r>
    <x v="615"/>
    <x v="2"/>
    <x v="14"/>
    <x v="1"/>
    <x v="52"/>
    <x v="0"/>
    <x v="3"/>
    <x v="164"/>
    <d v="2024-11-11T00:00:00"/>
    <n v="0"/>
    <x v="0"/>
    <x v="10"/>
    <n v="0"/>
    <x v="0"/>
    <x v="10"/>
  </r>
  <r>
    <x v="616"/>
    <x v="0"/>
    <x v="0"/>
    <x v="2"/>
    <x v="53"/>
    <x v="0"/>
    <x v="0"/>
    <x v="136"/>
    <d v="2024-10-23T00:00:00"/>
    <n v="0"/>
    <x v="0"/>
    <x v="9"/>
    <n v="0"/>
    <x v="0"/>
    <x v="9"/>
  </r>
  <r>
    <x v="617"/>
    <x v="1"/>
    <x v="10"/>
    <x v="3"/>
    <x v="54"/>
    <x v="2"/>
    <x v="2"/>
    <x v="164"/>
    <d v="2024-11-11T00:00:00"/>
    <n v="0"/>
    <x v="0"/>
    <x v="10"/>
    <n v="0"/>
    <x v="0"/>
    <x v="10"/>
  </r>
  <r>
    <x v="618"/>
    <x v="3"/>
    <x v="9"/>
    <x v="5"/>
    <x v="55"/>
    <x v="0"/>
    <x v="5"/>
    <x v="124"/>
    <d v="2024-07-13T00:00:00"/>
    <n v="0"/>
    <x v="0"/>
    <x v="8"/>
    <n v="0"/>
    <x v="0"/>
    <x v="8"/>
  </r>
  <r>
    <x v="619"/>
    <x v="3"/>
    <x v="9"/>
    <x v="4"/>
    <x v="56"/>
    <x v="1"/>
    <x v="4"/>
    <x v="165"/>
    <d v="2024-11-19T00:00:00"/>
    <n v="0"/>
    <x v="0"/>
    <x v="10"/>
    <n v="0"/>
    <x v="0"/>
    <x v="10"/>
  </r>
  <r>
    <x v="620"/>
    <x v="0"/>
    <x v="7"/>
    <x v="6"/>
    <x v="57"/>
    <x v="0"/>
    <x v="4"/>
    <x v="166"/>
    <d v="2024-10-14T00:00:00"/>
    <n v="0"/>
    <x v="0"/>
    <x v="9"/>
    <n v="0"/>
    <x v="0"/>
    <x v="9"/>
  </r>
  <r>
    <x v="621"/>
    <x v="3"/>
    <x v="6"/>
    <x v="3"/>
    <x v="58"/>
    <x v="1"/>
    <x v="5"/>
    <x v="167"/>
    <d v="2024-10-08T00:00:00"/>
    <n v="1"/>
    <x v="1"/>
    <x v="9"/>
    <n v="1"/>
    <x v="1"/>
    <x v="9"/>
  </r>
  <r>
    <x v="622"/>
    <x v="1"/>
    <x v="10"/>
    <x v="1"/>
    <x v="59"/>
    <x v="2"/>
    <x v="4"/>
    <x v="168"/>
    <d v="2024-11-04T00:00:00"/>
    <n v="0"/>
    <x v="0"/>
    <x v="10"/>
    <n v="0"/>
    <x v="0"/>
    <x v="10"/>
  </r>
  <r>
    <x v="623"/>
    <x v="0"/>
    <x v="0"/>
    <x v="3"/>
    <x v="60"/>
    <x v="0"/>
    <x v="4"/>
    <x v="120"/>
    <d v="2024-08-21T00:00:00"/>
    <n v="1"/>
    <x v="1"/>
    <x v="6"/>
    <n v="1"/>
    <x v="1"/>
    <x v="6"/>
  </r>
  <r>
    <x v="624"/>
    <x v="2"/>
    <x v="5"/>
    <x v="3"/>
    <x v="61"/>
    <x v="2"/>
    <x v="2"/>
    <x v="145"/>
    <d v="2024-11-18T00:00:00"/>
    <n v="0"/>
    <x v="0"/>
    <x v="10"/>
    <n v="0"/>
    <x v="0"/>
    <x v="10"/>
  </r>
  <r>
    <x v="625"/>
    <x v="0"/>
    <x v="7"/>
    <x v="5"/>
    <x v="62"/>
    <x v="1"/>
    <x v="5"/>
    <x v="162"/>
    <d v="2024-10-08T00:00:00"/>
    <n v="0"/>
    <x v="0"/>
    <x v="9"/>
    <n v="0"/>
    <x v="0"/>
    <x v="9"/>
  </r>
  <r>
    <x v="626"/>
    <x v="0"/>
    <x v="8"/>
    <x v="1"/>
    <x v="63"/>
    <x v="1"/>
    <x v="4"/>
    <x v="169"/>
    <d v="2024-09-01T00:00:00"/>
    <n v="0"/>
    <x v="0"/>
    <x v="11"/>
    <n v="0"/>
    <x v="0"/>
    <x v="11"/>
  </r>
  <r>
    <x v="627"/>
    <x v="2"/>
    <x v="5"/>
    <x v="3"/>
    <x v="64"/>
    <x v="2"/>
    <x v="0"/>
    <x v="170"/>
    <d v="2024-11-09T00:00:00"/>
    <n v="0"/>
    <x v="0"/>
    <x v="10"/>
    <n v="0"/>
    <x v="0"/>
    <x v="10"/>
  </r>
  <r>
    <x v="628"/>
    <x v="2"/>
    <x v="14"/>
    <x v="2"/>
    <x v="65"/>
    <x v="2"/>
    <x v="0"/>
    <x v="171"/>
    <d v="2024-07-18T00:00:00"/>
    <n v="0"/>
    <x v="0"/>
    <x v="8"/>
    <n v="0"/>
    <x v="0"/>
    <x v="8"/>
  </r>
  <r>
    <x v="629"/>
    <x v="0"/>
    <x v="7"/>
    <x v="4"/>
    <x v="66"/>
    <x v="0"/>
    <x v="0"/>
    <x v="159"/>
    <d v="2024-11-27T00:00:00"/>
    <n v="0"/>
    <x v="0"/>
    <x v="10"/>
    <n v="0"/>
    <x v="0"/>
    <x v="10"/>
  </r>
  <r>
    <x v="630"/>
    <x v="2"/>
    <x v="2"/>
    <x v="1"/>
    <x v="67"/>
    <x v="1"/>
    <x v="1"/>
    <x v="172"/>
    <d v="2024-10-24T00:00:00"/>
    <n v="0"/>
    <x v="0"/>
    <x v="9"/>
    <n v="0"/>
    <x v="0"/>
    <x v="9"/>
  </r>
  <r>
    <x v="631"/>
    <x v="0"/>
    <x v="0"/>
    <x v="4"/>
    <x v="68"/>
    <x v="1"/>
    <x v="2"/>
    <x v="173"/>
    <d v="2024-07-03T00:00:00"/>
    <n v="0"/>
    <x v="0"/>
    <x v="8"/>
    <n v="0"/>
    <x v="0"/>
    <x v="8"/>
  </r>
  <r>
    <x v="632"/>
    <x v="2"/>
    <x v="14"/>
    <x v="0"/>
    <x v="69"/>
    <x v="0"/>
    <x v="3"/>
    <x v="174"/>
    <d v="2024-10-26T00:00:00"/>
    <n v="0"/>
    <x v="0"/>
    <x v="9"/>
    <n v="0"/>
    <x v="0"/>
    <x v="9"/>
  </r>
  <r>
    <x v="633"/>
    <x v="1"/>
    <x v="11"/>
    <x v="1"/>
    <x v="70"/>
    <x v="2"/>
    <x v="1"/>
    <x v="152"/>
    <d v="2024-08-23T00:00:00"/>
    <n v="0"/>
    <x v="0"/>
    <x v="6"/>
    <n v="0"/>
    <x v="0"/>
    <x v="6"/>
  </r>
  <r>
    <x v="634"/>
    <x v="2"/>
    <x v="14"/>
    <x v="1"/>
    <x v="71"/>
    <x v="0"/>
    <x v="2"/>
    <x v="154"/>
    <d v="2024-10-15T00:00:00"/>
    <n v="0"/>
    <x v="0"/>
    <x v="9"/>
    <n v="0"/>
    <x v="0"/>
    <x v="9"/>
  </r>
  <r>
    <x v="635"/>
    <x v="1"/>
    <x v="10"/>
    <x v="6"/>
    <x v="72"/>
    <x v="0"/>
    <x v="3"/>
    <x v="175"/>
    <d v="2024-10-04T00:00:00"/>
    <n v="0"/>
    <x v="0"/>
    <x v="9"/>
    <n v="0"/>
    <x v="0"/>
    <x v="9"/>
  </r>
  <r>
    <x v="636"/>
    <x v="1"/>
    <x v="11"/>
    <x v="0"/>
    <x v="73"/>
    <x v="1"/>
    <x v="3"/>
    <x v="130"/>
    <d v="2024-11-25T00:00:00"/>
    <n v="0"/>
    <x v="0"/>
    <x v="10"/>
    <n v="0"/>
    <x v="0"/>
    <x v="10"/>
  </r>
  <r>
    <x v="637"/>
    <x v="1"/>
    <x v="11"/>
    <x v="1"/>
    <x v="74"/>
    <x v="1"/>
    <x v="3"/>
    <x v="176"/>
    <d v="2024-10-06T00:00:00"/>
    <n v="0"/>
    <x v="0"/>
    <x v="9"/>
    <n v="0"/>
    <x v="0"/>
    <x v="9"/>
  </r>
  <r>
    <x v="638"/>
    <x v="0"/>
    <x v="7"/>
    <x v="6"/>
    <x v="75"/>
    <x v="1"/>
    <x v="1"/>
    <x v="177"/>
    <d v="2024-09-20T00:00:00"/>
    <n v="0"/>
    <x v="0"/>
    <x v="11"/>
    <n v="0"/>
    <x v="0"/>
    <x v="11"/>
  </r>
  <r>
    <x v="639"/>
    <x v="1"/>
    <x v="10"/>
    <x v="1"/>
    <x v="76"/>
    <x v="1"/>
    <x v="2"/>
    <x v="178"/>
    <d v="2024-09-09T00:00:00"/>
    <n v="0"/>
    <x v="0"/>
    <x v="11"/>
    <n v="0"/>
    <x v="0"/>
    <x v="11"/>
  </r>
  <r>
    <x v="640"/>
    <x v="0"/>
    <x v="8"/>
    <x v="2"/>
    <x v="77"/>
    <x v="0"/>
    <x v="3"/>
    <x v="156"/>
    <d v="2024-11-22T00:00:00"/>
    <n v="0"/>
    <x v="0"/>
    <x v="10"/>
    <n v="0"/>
    <x v="0"/>
    <x v="10"/>
  </r>
  <r>
    <x v="641"/>
    <x v="2"/>
    <x v="2"/>
    <x v="6"/>
    <x v="78"/>
    <x v="0"/>
    <x v="2"/>
    <x v="168"/>
    <d v="2024-11-04T00:00:00"/>
    <n v="0"/>
    <x v="0"/>
    <x v="10"/>
    <n v="0"/>
    <x v="0"/>
    <x v="10"/>
  </r>
  <r>
    <x v="642"/>
    <x v="4"/>
    <x v="12"/>
    <x v="6"/>
    <x v="79"/>
    <x v="2"/>
    <x v="4"/>
    <x v="179"/>
    <d v="2024-08-14T00:00:00"/>
    <n v="0"/>
    <x v="0"/>
    <x v="6"/>
    <n v="0"/>
    <x v="0"/>
    <x v="6"/>
  </r>
  <r>
    <x v="643"/>
    <x v="2"/>
    <x v="14"/>
    <x v="4"/>
    <x v="80"/>
    <x v="0"/>
    <x v="3"/>
    <x v="180"/>
    <d v="2024-09-05T00:00:00"/>
    <n v="0"/>
    <x v="0"/>
    <x v="11"/>
    <n v="0"/>
    <x v="0"/>
    <x v="11"/>
  </r>
  <r>
    <x v="644"/>
    <x v="0"/>
    <x v="0"/>
    <x v="3"/>
    <x v="81"/>
    <x v="0"/>
    <x v="2"/>
    <x v="181"/>
    <d v="2024-10-27T00:00:00"/>
    <n v="0"/>
    <x v="0"/>
    <x v="9"/>
    <n v="0"/>
    <x v="0"/>
    <x v="9"/>
  </r>
  <r>
    <x v="645"/>
    <x v="3"/>
    <x v="3"/>
    <x v="7"/>
    <x v="82"/>
    <x v="2"/>
    <x v="0"/>
    <x v="166"/>
    <d v="2024-10-14T00:00:00"/>
    <n v="0"/>
    <x v="0"/>
    <x v="9"/>
    <n v="0"/>
    <x v="0"/>
    <x v="9"/>
  </r>
  <r>
    <x v="646"/>
    <x v="3"/>
    <x v="3"/>
    <x v="5"/>
    <x v="83"/>
    <x v="0"/>
    <x v="4"/>
    <x v="182"/>
    <d v="2024-08-17T00:00:00"/>
    <n v="0"/>
    <x v="0"/>
    <x v="6"/>
    <n v="0"/>
    <x v="0"/>
    <x v="6"/>
  </r>
  <r>
    <x v="647"/>
    <x v="2"/>
    <x v="5"/>
    <x v="4"/>
    <x v="84"/>
    <x v="0"/>
    <x v="2"/>
    <x v="141"/>
    <d v="2024-09-26T00:00:00"/>
    <n v="0"/>
    <x v="0"/>
    <x v="11"/>
    <n v="0"/>
    <x v="0"/>
    <x v="11"/>
  </r>
  <r>
    <x v="648"/>
    <x v="0"/>
    <x v="8"/>
    <x v="3"/>
    <x v="85"/>
    <x v="1"/>
    <x v="0"/>
    <x v="183"/>
    <d v="2024-11-26T00:00:00"/>
    <n v="0"/>
    <x v="0"/>
    <x v="10"/>
    <n v="0"/>
    <x v="0"/>
    <x v="10"/>
  </r>
  <r>
    <x v="649"/>
    <x v="2"/>
    <x v="14"/>
    <x v="3"/>
    <x v="86"/>
    <x v="1"/>
    <x v="1"/>
    <x v="181"/>
    <d v="2024-10-27T00:00:00"/>
    <n v="0"/>
    <x v="0"/>
    <x v="9"/>
    <n v="0"/>
    <x v="0"/>
    <x v="9"/>
  </r>
  <r>
    <x v="650"/>
    <x v="3"/>
    <x v="9"/>
    <x v="7"/>
    <x v="87"/>
    <x v="2"/>
    <x v="4"/>
    <x v="170"/>
    <d v="2024-11-09T00:00:00"/>
    <n v="0"/>
    <x v="0"/>
    <x v="10"/>
    <n v="0"/>
    <x v="0"/>
    <x v="10"/>
  </r>
  <r>
    <x v="651"/>
    <x v="0"/>
    <x v="0"/>
    <x v="1"/>
    <x v="88"/>
    <x v="1"/>
    <x v="3"/>
    <x v="149"/>
    <d v="2024-09-08T00:00:00"/>
    <n v="1"/>
    <x v="1"/>
    <x v="11"/>
    <n v="1"/>
    <x v="1"/>
    <x v="11"/>
  </r>
  <r>
    <x v="652"/>
    <x v="0"/>
    <x v="8"/>
    <x v="6"/>
    <x v="89"/>
    <x v="0"/>
    <x v="3"/>
    <x v="184"/>
    <d v="2024-10-19T00:00:00"/>
    <n v="0"/>
    <x v="0"/>
    <x v="9"/>
    <n v="0"/>
    <x v="0"/>
    <x v="9"/>
  </r>
  <r>
    <x v="653"/>
    <x v="4"/>
    <x v="4"/>
    <x v="7"/>
    <x v="90"/>
    <x v="1"/>
    <x v="5"/>
    <x v="185"/>
    <d v="2024-07-29T00:00:00"/>
    <n v="0"/>
    <x v="0"/>
    <x v="8"/>
    <n v="0"/>
    <x v="0"/>
    <x v="8"/>
  </r>
  <r>
    <x v="654"/>
    <x v="0"/>
    <x v="0"/>
    <x v="4"/>
    <x v="91"/>
    <x v="1"/>
    <x v="4"/>
    <x v="186"/>
    <d v="2024-09-15T00:00:00"/>
    <n v="0"/>
    <x v="0"/>
    <x v="11"/>
    <n v="0"/>
    <x v="0"/>
    <x v="11"/>
  </r>
  <r>
    <x v="655"/>
    <x v="2"/>
    <x v="14"/>
    <x v="3"/>
    <x v="92"/>
    <x v="2"/>
    <x v="5"/>
    <x v="160"/>
    <d v="2024-09-21T00:00:00"/>
    <n v="0"/>
    <x v="0"/>
    <x v="11"/>
    <n v="0"/>
    <x v="0"/>
    <x v="11"/>
  </r>
  <r>
    <x v="656"/>
    <x v="1"/>
    <x v="1"/>
    <x v="6"/>
    <x v="93"/>
    <x v="2"/>
    <x v="1"/>
    <x v="151"/>
    <d v="2024-11-02T00:00:00"/>
    <n v="0"/>
    <x v="0"/>
    <x v="10"/>
    <n v="0"/>
    <x v="0"/>
    <x v="10"/>
  </r>
  <r>
    <x v="657"/>
    <x v="3"/>
    <x v="6"/>
    <x v="5"/>
    <x v="94"/>
    <x v="1"/>
    <x v="2"/>
    <x v="139"/>
    <d v="2024-07-10T00:00:00"/>
    <n v="0"/>
    <x v="0"/>
    <x v="8"/>
    <n v="0"/>
    <x v="0"/>
    <x v="8"/>
  </r>
  <r>
    <x v="658"/>
    <x v="0"/>
    <x v="0"/>
    <x v="1"/>
    <x v="95"/>
    <x v="0"/>
    <x v="0"/>
    <x v="187"/>
    <d v="2024-10-17T00:00:00"/>
    <n v="0"/>
    <x v="0"/>
    <x v="9"/>
    <n v="0"/>
    <x v="0"/>
    <x v="9"/>
  </r>
  <r>
    <x v="659"/>
    <x v="1"/>
    <x v="1"/>
    <x v="4"/>
    <x v="96"/>
    <x v="1"/>
    <x v="4"/>
    <x v="188"/>
    <d v="2024-09-22T00:00:00"/>
    <n v="0"/>
    <x v="0"/>
    <x v="11"/>
    <n v="0"/>
    <x v="0"/>
    <x v="11"/>
  </r>
  <r>
    <x v="660"/>
    <x v="2"/>
    <x v="2"/>
    <x v="6"/>
    <x v="97"/>
    <x v="2"/>
    <x v="0"/>
    <x v="180"/>
    <d v="2024-09-05T00:00:00"/>
    <n v="0"/>
    <x v="0"/>
    <x v="11"/>
    <n v="0"/>
    <x v="0"/>
    <x v="11"/>
  </r>
  <r>
    <x v="661"/>
    <x v="1"/>
    <x v="11"/>
    <x v="4"/>
    <x v="98"/>
    <x v="1"/>
    <x v="2"/>
    <x v="157"/>
    <d v="2024-07-30T00:00:00"/>
    <n v="0"/>
    <x v="0"/>
    <x v="8"/>
    <n v="0"/>
    <x v="0"/>
    <x v="8"/>
  </r>
  <r>
    <x v="662"/>
    <x v="4"/>
    <x v="12"/>
    <x v="3"/>
    <x v="99"/>
    <x v="2"/>
    <x v="5"/>
    <x v="189"/>
    <d v="2024-07-12T00:00:00"/>
    <n v="0"/>
    <x v="0"/>
    <x v="8"/>
    <n v="0"/>
    <x v="0"/>
    <x v="8"/>
  </r>
  <r>
    <x v="663"/>
    <x v="4"/>
    <x v="13"/>
    <x v="6"/>
    <x v="100"/>
    <x v="1"/>
    <x v="4"/>
    <x v="190"/>
    <d v="2024-11-21T00:00:00"/>
    <n v="0"/>
    <x v="0"/>
    <x v="10"/>
    <n v="0"/>
    <x v="0"/>
    <x v="10"/>
  </r>
  <r>
    <x v="664"/>
    <x v="2"/>
    <x v="5"/>
    <x v="6"/>
    <x v="101"/>
    <x v="2"/>
    <x v="1"/>
    <x v="191"/>
    <d v="2024-11-03T00:00:00"/>
    <n v="0"/>
    <x v="0"/>
    <x v="10"/>
    <n v="0"/>
    <x v="0"/>
    <x v="10"/>
  </r>
  <r>
    <x v="665"/>
    <x v="4"/>
    <x v="13"/>
    <x v="2"/>
    <x v="102"/>
    <x v="2"/>
    <x v="5"/>
    <x v="170"/>
    <d v="2024-11-09T00:00:00"/>
    <n v="0"/>
    <x v="0"/>
    <x v="10"/>
    <n v="0"/>
    <x v="0"/>
    <x v="10"/>
  </r>
  <r>
    <x v="666"/>
    <x v="4"/>
    <x v="4"/>
    <x v="7"/>
    <x v="103"/>
    <x v="1"/>
    <x v="5"/>
    <x v="145"/>
    <d v="2024-11-18T00:00:00"/>
    <n v="0"/>
    <x v="0"/>
    <x v="10"/>
    <n v="0"/>
    <x v="0"/>
    <x v="10"/>
  </r>
  <r>
    <x v="667"/>
    <x v="2"/>
    <x v="5"/>
    <x v="7"/>
    <x v="104"/>
    <x v="0"/>
    <x v="3"/>
    <x v="192"/>
    <d v="2024-10-30T00:00:00"/>
    <n v="0"/>
    <x v="0"/>
    <x v="9"/>
    <n v="0"/>
    <x v="0"/>
    <x v="9"/>
  </r>
  <r>
    <x v="668"/>
    <x v="4"/>
    <x v="13"/>
    <x v="3"/>
    <x v="105"/>
    <x v="1"/>
    <x v="2"/>
    <x v="193"/>
    <d v="2024-10-09T00:00:00"/>
    <n v="0"/>
    <x v="0"/>
    <x v="9"/>
    <n v="0"/>
    <x v="0"/>
    <x v="9"/>
  </r>
  <r>
    <x v="669"/>
    <x v="3"/>
    <x v="9"/>
    <x v="1"/>
    <x v="106"/>
    <x v="2"/>
    <x v="3"/>
    <x v="174"/>
    <d v="2024-10-26T00:00:00"/>
    <n v="0"/>
    <x v="0"/>
    <x v="9"/>
    <n v="0"/>
    <x v="0"/>
    <x v="9"/>
  </r>
  <r>
    <x v="670"/>
    <x v="2"/>
    <x v="5"/>
    <x v="2"/>
    <x v="107"/>
    <x v="2"/>
    <x v="1"/>
    <x v="180"/>
    <d v="2024-09-06T00:00:00"/>
    <n v="1"/>
    <x v="1"/>
    <x v="11"/>
    <n v="1"/>
    <x v="1"/>
    <x v="11"/>
  </r>
  <r>
    <x v="671"/>
    <x v="2"/>
    <x v="2"/>
    <x v="3"/>
    <x v="108"/>
    <x v="2"/>
    <x v="2"/>
    <x v="145"/>
    <d v="2024-11-18T00:00:00"/>
    <n v="0"/>
    <x v="0"/>
    <x v="10"/>
    <n v="0"/>
    <x v="0"/>
    <x v="10"/>
  </r>
  <r>
    <x v="672"/>
    <x v="0"/>
    <x v="0"/>
    <x v="5"/>
    <x v="109"/>
    <x v="0"/>
    <x v="5"/>
    <x v="178"/>
    <d v="2024-09-09T00:00:00"/>
    <n v="0"/>
    <x v="0"/>
    <x v="11"/>
    <n v="0"/>
    <x v="0"/>
    <x v="11"/>
  </r>
  <r>
    <x v="673"/>
    <x v="4"/>
    <x v="12"/>
    <x v="0"/>
    <x v="110"/>
    <x v="2"/>
    <x v="3"/>
    <x v="194"/>
    <d v="2024-07-27T00:00:00"/>
    <n v="0"/>
    <x v="0"/>
    <x v="8"/>
    <n v="0"/>
    <x v="0"/>
    <x v="8"/>
  </r>
  <r>
    <x v="674"/>
    <x v="2"/>
    <x v="14"/>
    <x v="3"/>
    <x v="111"/>
    <x v="1"/>
    <x v="4"/>
    <x v="195"/>
    <d v="2024-07-22T00:00:00"/>
    <n v="0"/>
    <x v="0"/>
    <x v="8"/>
    <n v="0"/>
    <x v="0"/>
    <x v="8"/>
  </r>
  <r>
    <x v="675"/>
    <x v="1"/>
    <x v="11"/>
    <x v="2"/>
    <x v="112"/>
    <x v="1"/>
    <x v="4"/>
    <x v="196"/>
    <d v="2024-09-27T00:00:00"/>
    <n v="0"/>
    <x v="0"/>
    <x v="11"/>
    <n v="0"/>
    <x v="0"/>
    <x v="11"/>
  </r>
  <r>
    <x v="676"/>
    <x v="3"/>
    <x v="3"/>
    <x v="3"/>
    <x v="113"/>
    <x v="0"/>
    <x v="1"/>
    <x v="197"/>
    <d v="2024-09-14T00:00:00"/>
    <n v="0"/>
    <x v="0"/>
    <x v="11"/>
    <n v="0"/>
    <x v="0"/>
    <x v="11"/>
  </r>
  <r>
    <x v="677"/>
    <x v="0"/>
    <x v="7"/>
    <x v="4"/>
    <x v="114"/>
    <x v="0"/>
    <x v="4"/>
    <x v="198"/>
    <d v="2024-10-11T00:00:00"/>
    <n v="0"/>
    <x v="0"/>
    <x v="9"/>
    <n v="0"/>
    <x v="0"/>
    <x v="9"/>
  </r>
  <r>
    <x v="678"/>
    <x v="2"/>
    <x v="2"/>
    <x v="4"/>
    <x v="115"/>
    <x v="1"/>
    <x v="1"/>
    <x v="199"/>
    <d v="2024-11-20T00:00:00"/>
    <n v="0"/>
    <x v="0"/>
    <x v="10"/>
    <n v="0"/>
    <x v="0"/>
    <x v="10"/>
  </r>
  <r>
    <x v="679"/>
    <x v="2"/>
    <x v="14"/>
    <x v="5"/>
    <x v="116"/>
    <x v="2"/>
    <x v="5"/>
    <x v="134"/>
    <d v="2024-07-05T00:00:00"/>
    <n v="0"/>
    <x v="0"/>
    <x v="8"/>
    <n v="0"/>
    <x v="0"/>
    <x v="8"/>
  </r>
  <r>
    <x v="680"/>
    <x v="1"/>
    <x v="10"/>
    <x v="7"/>
    <x v="117"/>
    <x v="2"/>
    <x v="5"/>
    <x v="175"/>
    <d v="2024-10-04T00:00:00"/>
    <n v="0"/>
    <x v="0"/>
    <x v="9"/>
    <n v="0"/>
    <x v="0"/>
    <x v="9"/>
  </r>
  <r>
    <x v="681"/>
    <x v="4"/>
    <x v="13"/>
    <x v="5"/>
    <x v="118"/>
    <x v="1"/>
    <x v="0"/>
    <x v="172"/>
    <d v="2024-10-24T00:00:00"/>
    <n v="0"/>
    <x v="0"/>
    <x v="9"/>
    <n v="0"/>
    <x v="0"/>
    <x v="9"/>
  </r>
  <r>
    <x v="682"/>
    <x v="1"/>
    <x v="1"/>
    <x v="4"/>
    <x v="119"/>
    <x v="0"/>
    <x v="5"/>
    <x v="125"/>
    <d v="2024-08-16T00:00:00"/>
    <n v="0"/>
    <x v="0"/>
    <x v="6"/>
    <n v="0"/>
    <x v="0"/>
    <x v="6"/>
  </r>
  <r>
    <x v="683"/>
    <x v="0"/>
    <x v="0"/>
    <x v="1"/>
    <x v="120"/>
    <x v="1"/>
    <x v="1"/>
    <x v="200"/>
    <d v="2024-10-21T00:00:00"/>
    <n v="0"/>
    <x v="0"/>
    <x v="9"/>
    <n v="0"/>
    <x v="0"/>
    <x v="9"/>
  </r>
  <r>
    <x v="684"/>
    <x v="1"/>
    <x v="10"/>
    <x v="1"/>
    <x v="121"/>
    <x v="1"/>
    <x v="3"/>
    <x v="201"/>
    <d v="2024-12-07T00:00:00"/>
    <n v="0"/>
    <x v="0"/>
    <x v="7"/>
    <n v="0"/>
    <x v="0"/>
    <x v="7"/>
  </r>
  <r>
    <x v="685"/>
    <x v="3"/>
    <x v="3"/>
    <x v="5"/>
    <x v="122"/>
    <x v="2"/>
    <x v="5"/>
    <x v="202"/>
    <d v="2024-07-08T00:00:00"/>
    <n v="0"/>
    <x v="0"/>
    <x v="8"/>
    <n v="0"/>
    <x v="0"/>
    <x v="8"/>
  </r>
  <r>
    <x v="686"/>
    <x v="3"/>
    <x v="6"/>
    <x v="7"/>
    <x v="123"/>
    <x v="0"/>
    <x v="5"/>
    <x v="199"/>
    <d v="2024-11-20T00:00:00"/>
    <n v="0"/>
    <x v="0"/>
    <x v="10"/>
    <n v="0"/>
    <x v="0"/>
    <x v="10"/>
  </r>
  <r>
    <x v="687"/>
    <x v="2"/>
    <x v="2"/>
    <x v="6"/>
    <x v="124"/>
    <x v="1"/>
    <x v="0"/>
    <x v="136"/>
    <d v="2024-10-23T00:00:00"/>
    <n v="0"/>
    <x v="0"/>
    <x v="9"/>
    <n v="0"/>
    <x v="0"/>
    <x v="9"/>
  </r>
  <r>
    <x v="688"/>
    <x v="4"/>
    <x v="4"/>
    <x v="0"/>
    <x v="125"/>
    <x v="1"/>
    <x v="3"/>
    <x v="146"/>
    <d v="2024-08-08T00:00:00"/>
    <n v="0"/>
    <x v="0"/>
    <x v="6"/>
    <n v="0"/>
    <x v="0"/>
    <x v="6"/>
  </r>
  <r>
    <x v="689"/>
    <x v="2"/>
    <x v="2"/>
    <x v="3"/>
    <x v="126"/>
    <x v="1"/>
    <x v="4"/>
    <x v="151"/>
    <d v="2024-11-02T00:00:00"/>
    <n v="0"/>
    <x v="0"/>
    <x v="10"/>
    <n v="0"/>
    <x v="0"/>
    <x v="10"/>
  </r>
  <r>
    <x v="690"/>
    <x v="0"/>
    <x v="7"/>
    <x v="6"/>
    <x v="127"/>
    <x v="2"/>
    <x v="3"/>
    <x v="187"/>
    <d v="2024-10-17T00:00:00"/>
    <n v="0"/>
    <x v="0"/>
    <x v="9"/>
    <n v="0"/>
    <x v="0"/>
    <x v="9"/>
  </r>
  <r>
    <x v="691"/>
    <x v="2"/>
    <x v="5"/>
    <x v="4"/>
    <x v="128"/>
    <x v="0"/>
    <x v="0"/>
    <x v="124"/>
    <d v="2024-07-13T00:00:00"/>
    <n v="0"/>
    <x v="0"/>
    <x v="8"/>
    <n v="0"/>
    <x v="0"/>
    <x v="8"/>
  </r>
  <r>
    <x v="692"/>
    <x v="1"/>
    <x v="1"/>
    <x v="3"/>
    <x v="129"/>
    <x v="0"/>
    <x v="2"/>
    <x v="203"/>
    <d v="2024-07-14T00:00:00"/>
    <n v="0"/>
    <x v="0"/>
    <x v="8"/>
    <n v="0"/>
    <x v="0"/>
    <x v="8"/>
  </r>
  <r>
    <x v="693"/>
    <x v="0"/>
    <x v="7"/>
    <x v="3"/>
    <x v="130"/>
    <x v="0"/>
    <x v="5"/>
    <x v="204"/>
    <d v="2024-08-15T00:00:00"/>
    <n v="0"/>
    <x v="0"/>
    <x v="6"/>
    <n v="0"/>
    <x v="0"/>
    <x v="6"/>
  </r>
  <r>
    <x v="694"/>
    <x v="2"/>
    <x v="14"/>
    <x v="0"/>
    <x v="131"/>
    <x v="1"/>
    <x v="2"/>
    <x v="205"/>
    <d v="2024-07-11T00:00:00"/>
    <n v="0"/>
    <x v="0"/>
    <x v="8"/>
    <n v="0"/>
    <x v="0"/>
    <x v="8"/>
  </r>
  <r>
    <x v="695"/>
    <x v="3"/>
    <x v="9"/>
    <x v="3"/>
    <x v="132"/>
    <x v="2"/>
    <x v="5"/>
    <x v="206"/>
    <d v="2024-09-30T00:00:00"/>
    <n v="0"/>
    <x v="0"/>
    <x v="11"/>
    <n v="0"/>
    <x v="0"/>
    <x v="11"/>
  </r>
  <r>
    <x v="696"/>
    <x v="0"/>
    <x v="0"/>
    <x v="7"/>
    <x v="133"/>
    <x v="0"/>
    <x v="4"/>
    <x v="207"/>
    <d v="2024-07-15T00:00:00"/>
    <n v="0"/>
    <x v="0"/>
    <x v="8"/>
    <n v="0"/>
    <x v="0"/>
    <x v="8"/>
  </r>
  <r>
    <x v="697"/>
    <x v="0"/>
    <x v="0"/>
    <x v="3"/>
    <x v="134"/>
    <x v="0"/>
    <x v="3"/>
    <x v="175"/>
    <d v="2024-10-04T00:00:00"/>
    <n v="0"/>
    <x v="0"/>
    <x v="9"/>
    <n v="0"/>
    <x v="0"/>
    <x v="9"/>
  </r>
  <r>
    <x v="698"/>
    <x v="0"/>
    <x v="0"/>
    <x v="2"/>
    <x v="135"/>
    <x v="1"/>
    <x v="0"/>
    <x v="208"/>
    <d v="2024-08-11T00:00:00"/>
    <n v="0"/>
    <x v="0"/>
    <x v="6"/>
    <n v="0"/>
    <x v="0"/>
    <x v="6"/>
  </r>
  <r>
    <x v="699"/>
    <x v="1"/>
    <x v="11"/>
    <x v="3"/>
    <x v="136"/>
    <x v="1"/>
    <x v="5"/>
    <x v="209"/>
    <d v="2024-09-02T00:00:00"/>
    <n v="0"/>
    <x v="0"/>
    <x v="11"/>
    <n v="0"/>
    <x v="0"/>
    <x v="11"/>
  </r>
  <r>
    <x v="700"/>
    <x v="4"/>
    <x v="13"/>
    <x v="3"/>
    <x v="137"/>
    <x v="1"/>
    <x v="5"/>
    <x v="210"/>
    <d v="2024-11-24T00:00:00"/>
    <n v="0"/>
    <x v="0"/>
    <x v="10"/>
    <n v="0"/>
    <x v="0"/>
    <x v="10"/>
  </r>
  <r>
    <x v="701"/>
    <x v="0"/>
    <x v="8"/>
    <x v="3"/>
    <x v="138"/>
    <x v="2"/>
    <x v="3"/>
    <x v="169"/>
    <d v="2024-09-01T00:00:00"/>
    <n v="0"/>
    <x v="0"/>
    <x v="11"/>
    <n v="0"/>
    <x v="0"/>
    <x v="11"/>
  </r>
  <r>
    <x v="702"/>
    <x v="1"/>
    <x v="10"/>
    <x v="7"/>
    <x v="139"/>
    <x v="0"/>
    <x v="5"/>
    <x v="182"/>
    <d v="2024-08-17T00:00:00"/>
    <n v="0"/>
    <x v="0"/>
    <x v="6"/>
    <n v="0"/>
    <x v="0"/>
    <x v="6"/>
  </r>
  <r>
    <x v="703"/>
    <x v="0"/>
    <x v="0"/>
    <x v="4"/>
    <x v="140"/>
    <x v="2"/>
    <x v="4"/>
    <x v="124"/>
    <d v="2024-07-13T00:00:00"/>
    <n v="0"/>
    <x v="0"/>
    <x v="8"/>
    <n v="0"/>
    <x v="0"/>
    <x v="8"/>
  </r>
  <r>
    <x v="704"/>
    <x v="1"/>
    <x v="1"/>
    <x v="0"/>
    <x v="141"/>
    <x v="1"/>
    <x v="2"/>
    <x v="196"/>
    <d v="2024-09-27T00:00:00"/>
    <n v="0"/>
    <x v="0"/>
    <x v="11"/>
    <n v="0"/>
    <x v="0"/>
    <x v="11"/>
  </r>
  <r>
    <x v="705"/>
    <x v="3"/>
    <x v="3"/>
    <x v="7"/>
    <x v="142"/>
    <x v="1"/>
    <x v="5"/>
    <x v="178"/>
    <d v="2024-09-09T00:00:00"/>
    <n v="0"/>
    <x v="0"/>
    <x v="11"/>
    <n v="0"/>
    <x v="0"/>
    <x v="11"/>
  </r>
  <r>
    <x v="706"/>
    <x v="1"/>
    <x v="10"/>
    <x v="0"/>
    <x v="143"/>
    <x v="2"/>
    <x v="1"/>
    <x v="136"/>
    <d v="2024-10-23T00:00:00"/>
    <n v="0"/>
    <x v="0"/>
    <x v="9"/>
    <n v="0"/>
    <x v="0"/>
    <x v="9"/>
  </r>
  <r>
    <x v="707"/>
    <x v="2"/>
    <x v="14"/>
    <x v="5"/>
    <x v="144"/>
    <x v="0"/>
    <x v="0"/>
    <x v="198"/>
    <d v="2024-10-11T00:00:00"/>
    <n v="0"/>
    <x v="0"/>
    <x v="9"/>
    <n v="0"/>
    <x v="0"/>
    <x v="9"/>
  </r>
  <r>
    <x v="708"/>
    <x v="1"/>
    <x v="10"/>
    <x v="6"/>
    <x v="145"/>
    <x v="2"/>
    <x v="2"/>
    <x v="211"/>
    <d v="2024-09-24T00:00:00"/>
    <n v="0"/>
    <x v="0"/>
    <x v="11"/>
    <n v="0"/>
    <x v="0"/>
    <x v="11"/>
  </r>
  <r>
    <x v="709"/>
    <x v="0"/>
    <x v="8"/>
    <x v="7"/>
    <x v="146"/>
    <x v="0"/>
    <x v="5"/>
    <x v="144"/>
    <d v="2024-07-24T00:00:00"/>
    <n v="0"/>
    <x v="0"/>
    <x v="8"/>
    <n v="0"/>
    <x v="0"/>
    <x v="8"/>
  </r>
  <r>
    <x v="710"/>
    <x v="3"/>
    <x v="9"/>
    <x v="2"/>
    <x v="147"/>
    <x v="2"/>
    <x v="1"/>
    <x v="187"/>
    <d v="2024-10-17T00:00:00"/>
    <n v="0"/>
    <x v="0"/>
    <x v="9"/>
    <n v="0"/>
    <x v="0"/>
    <x v="9"/>
  </r>
  <r>
    <x v="711"/>
    <x v="3"/>
    <x v="9"/>
    <x v="3"/>
    <x v="148"/>
    <x v="2"/>
    <x v="5"/>
    <x v="212"/>
    <d v="2024-11-13T00:00:00"/>
    <n v="0"/>
    <x v="0"/>
    <x v="10"/>
    <n v="0"/>
    <x v="0"/>
    <x v="10"/>
  </r>
  <r>
    <x v="712"/>
    <x v="4"/>
    <x v="4"/>
    <x v="5"/>
    <x v="149"/>
    <x v="1"/>
    <x v="4"/>
    <x v="136"/>
    <d v="2024-10-23T00:00:00"/>
    <n v="0"/>
    <x v="0"/>
    <x v="9"/>
    <n v="0"/>
    <x v="0"/>
    <x v="9"/>
  </r>
  <r>
    <x v="713"/>
    <x v="0"/>
    <x v="0"/>
    <x v="0"/>
    <x v="150"/>
    <x v="2"/>
    <x v="5"/>
    <x v="208"/>
    <d v="2024-08-11T00:00:00"/>
    <n v="0"/>
    <x v="0"/>
    <x v="6"/>
    <n v="0"/>
    <x v="0"/>
    <x v="6"/>
  </r>
  <r>
    <x v="714"/>
    <x v="3"/>
    <x v="3"/>
    <x v="7"/>
    <x v="151"/>
    <x v="0"/>
    <x v="0"/>
    <x v="213"/>
    <d v="2024-09-28T00:00:00"/>
    <n v="0"/>
    <x v="0"/>
    <x v="11"/>
    <n v="0"/>
    <x v="0"/>
    <x v="11"/>
  </r>
  <r>
    <x v="715"/>
    <x v="1"/>
    <x v="10"/>
    <x v="5"/>
    <x v="152"/>
    <x v="0"/>
    <x v="3"/>
    <x v="214"/>
    <d v="2024-12-04T00:00:00"/>
    <n v="0"/>
    <x v="0"/>
    <x v="7"/>
    <n v="0"/>
    <x v="0"/>
    <x v="7"/>
  </r>
  <r>
    <x v="716"/>
    <x v="4"/>
    <x v="13"/>
    <x v="3"/>
    <x v="153"/>
    <x v="1"/>
    <x v="5"/>
    <x v="215"/>
    <d v="2024-09-16T00:00:00"/>
    <n v="0"/>
    <x v="0"/>
    <x v="11"/>
    <n v="0"/>
    <x v="0"/>
    <x v="11"/>
  </r>
  <r>
    <x v="717"/>
    <x v="3"/>
    <x v="6"/>
    <x v="3"/>
    <x v="154"/>
    <x v="1"/>
    <x v="2"/>
    <x v="216"/>
    <d v="2024-11-05T00:00:00"/>
    <n v="0"/>
    <x v="0"/>
    <x v="10"/>
    <n v="0"/>
    <x v="0"/>
    <x v="10"/>
  </r>
  <r>
    <x v="718"/>
    <x v="4"/>
    <x v="13"/>
    <x v="0"/>
    <x v="155"/>
    <x v="2"/>
    <x v="1"/>
    <x v="129"/>
    <d v="2024-10-02T00:00:00"/>
    <n v="0"/>
    <x v="0"/>
    <x v="9"/>
    <n v="0"/>
    <x v="0"/>
    <x v="9"/>
  </r>
  <r>
    <x v="719"/>
    <x v="3"/>
    <x v="3"/>
    <x v="1"/>
    <x v="156"/>
    <x v="2"/>
    <x v="3"/>
    <x v="217"/>
    <d v="2024-07-20T00:00:00"/>
    <n v="0"/>
    <x v="0"/>
    <x v="8"/>
    <n v="0"/>
    <x v="0"/>
    <x v="8"/>
  </r>
  <r>
    <x v="720"/>
    <x v="0"/>
    <x v="8"/>
    <x v="0"/>
    <x v="157"/>
    <x v="1"/>
    <x v="1"/>
    <x v="218"/>
    <d v="2024-12-03T00:00:00"/>
    <n v="0"/>
    <x v="0"/>
    <x v="7"/>
    <n v="0"/>
    <x v="0"/>
    <x v="7"/>
  </r>
  <r>
    <x v="721"/>
    <x v="0"/>
    <x v="0"/>
    <x v="5"/>
    <x v="158"/>
    <x v="0"/>
    <x v="0"/>
    <x v="219"/>
    <d v="2024-09-19T00:00:00"/>
    <n v="0"/>
    <x v="0"/>
    <x v="11"/>
    <n v="0"/>
    <x v="0"/>
    <x v="11"/>
  </r>
  <r>
    <x v="722"/>
    <x v="0"/>
    <x v="7"/>
    <x v="3"/>
    <x v="159"/>
    <x v="0"/>
    <x v="5"/>
    <x v="141"/>
    <d v="2024-09-26T00:00:00"/>
    <n v="0"/>
    <x v="0"/>
    <x v="11"/>
    <n v="0"/>
    <x v="0"/>
    <x v="11"/>
  </r>
  <r>
    <x v="723"/>
    <x v="2"/>
    <x v="5"/>
    <x v="2"/>
    <x v="160"/>
    <x v="0"/>
    <x v="0"/>
    <x v="220"/>
    <d v="2024-09-11T00:00:00"/>
    <n v="0"/>
    <x v="0"/>
    <x v="11"/>
    <n v="0"/>
    <x v="0"/>
    <x v="11"/>
  </r>
  <r>
    <x v="724"/>
    <x v="1"/>
    <x v="1"/>
    <x v="0"/>
    <x v="161"/>
    <x v="2"/>
    <x v="3"/>
    <x v="130"/>
    <d v="2024-11-25T00:00:00"/>
    <n v="0"/>
    <x v="0"/>
    <x v="10"/>
    <n v="0"/>
    <x v="0"/>
    <x v="10"/>
  </r>
  <r>
    <x v="725"/>
    <x v="2"/>
    <x v="5"/>
    <x v="0"/>
    <x v="162"/>
    <x v="2"/>
    <x v="0"/>
    <x v="134"/>
    <d v="2024-07-05T00:00:00"/>
    <n v="0"/>
    <x v="0"/>
    <x v="8"/>
    <n v="0"/>
    <x v="0"/>
    <x v="8"/>
  </r>
  <r>
    <x v="726"/>
    <x v="4"/>
    <x v="13"/>
    <x v="3"/>
    <x v="163"/>
    <x v="2"/>
    <x v="2"/>
    <x v="124"/>
    <d v="2024-07-13T00:00:00"/>
    <n v="0"/>
    <x v="0"/>
    <x v="8"/>
    <n v="0"/>
    <x v="0"/>
    <x v="8"/>
  </r>
  <r>
    <x v="727"/>
    <x v="1"/>
    <x v="11"/>
    <x v="4"/>
    <x v="164"/>
    <x v="2"/>
    <x v="5"/>
    <x v="200"/>
    <d v="2024-10-21T00:00:00"/>
    <n v="0"/>
    <x v="0"/>
    <x v="9"/>
    <n v="0"/>
    <x v="0"/>
    <x v="9"/>
  </r>
  <r>
    <x v="728"/>
    <x v="3"/>
    <x v="3"/>
    <x v="3"/>
    <x v="165"/>
    <x v="1"/>
    <x v="2"/>
    <x v="187"/>
    <d v="2024-10-17T00:00:00"/>
    <n v="0"/>
    <x v="0"/>
    <x v="9"/>
    <n v="0"/>
    <x v="0"/>
    <x v="9"/>
  </r>
  <r>
    <x v="729"/>
    <x v="2"/>
    <x v="5"/>
    <x v="3"/>
    <x v="166"/>
    <x v="0"/>
    <x v="5"/>
    <x v="206"/>
    <d v="2024-09-30T00:00:00"/>
    <n v="0"/>
    <x v="0"/>
    <x v="11"/>
    <n v="0"/>
    <x v="0"/>
    <x v="11"/>
  </r>
  <r>
    <x v="730"/>
    <x v="1"/>
    <x v="1"/>
    <x v="2"/>
    <x v="167"/>
    <x v="0"/>
    <x v="1"/>
    <x v="221"/>
    <d v="2024-08-21T00:00:00"/>
    <n v="0"/>
    <x v="0"/>
    <x v="6"/>
    <n v="0"/>
    <x v="0"/>
    <x v="6"/>
  </r>
  <r>
    <x v="731"/>
    <x v="1"/>
    <x v="1"/>
    <x v="0"/>
    <x v="168"/>
    <x v="1"/>
    <x v="1"/>
    <x v="222"/>
    <d v="2024-08-24T00:00:00"/>
    <n v="0"/>
    <x v="0"/>
    <x v="6"/>
    <n v="0"/>
    <x v="0"/>
    <x v="6"/>
  </r>
  <r>
    <x v="732"/>
    <x v="3"/>
    <x v="3"/>
    <x v="2"/>
    <x v="169"/>
    <x v="0"/>
    <x v="2"/>
    <x v="223"/>
    <d v="2024-07-16T00:00:00"/>
    <n v="0"/>
    <x v="0"/>
    <x v="8"/>
    <n v="0"/>
    <x v="0"/>
    <x v="8"/>
  </r>
  <r>
    <x v="733"/>
    <x v="0"/>
    <x v="7"/>
    <x v="3"/>
    <x v="170"/>
    <x v="2"/>
    <x v="1"/>
    <x v="203"/>
    <d v="2024-07-14T00:00:00"/>
    <n v="0"/>
    <x v="0"/>
    <x v="8"/>
    <n v="0"/>
    <x v="0"/>
    <x v="8"/>
  </r>
  <r>
    <x v="734"/>
    <x v="4"/>
    <x v="12"/>
    <x v="7"/>
    <x v="171"/>
    <x v="1"/>
    <x v="2"/>
    <x v="224"/>
    <d v="2024-11-28T00:00:00"/>
    <n v="0"/>
    <x v="0"/>
    <x v="10"/>
    <n v="0"/>
    <x v="0"/>
    <x v="10"/>
  </r>
  <r>
    <x v="735"/>
    <x v="4"/>
    <x v="4"/>
    <x v="4"/>
    <x v="172"/>
    <x v="1"/>
    <x v="1"/>
    <x v="225"/>
    <d v="2024-11-08T00:00:00"/>
    <n v="0"/>
    <x v="0"/>
    <x v="10"/>
    <n v="0"/>
    <x v="0"/>
    <x v="10"/>
  </r>
  <r>
    <x v="736"/>
    <x v="0"/>
    <x v="0"/>
    <x v="1"/>
    <x v="173"/>
    <x v="0"/>
    <x v="2"/>
    <x v="226"/>
    <d v="2024-11-30T00:00:00"/>
    <n v="0"/>
    <x v="0"/>
    <x v="10"/>
    <n v="0"/>
    <x v="0"/>
    <x v="10"/>
  </r>
  <r>
    <x v="737"/>
    <x v="1"/>
    <x v="10"/>
    <x v="4"/>
    <x v="174"/>
    <x v="2"/>
    <x v="4"/>
    <x v="206"/>
    <d v="2024-09-30T00:00:00"/>
    <n v="0"/>
    <x v="0"/>
    <x v="11"/>
    <n v="0"/>
    <x v="0"/>
    <x v="11"/>
  </r>
  <r>
    <x v="738"/>
    <x v="0"/>
    <x v="8"/>
    <x v="3"/>
    <x v="175"/>
    <x v="1"/>
    <x v="4"/>
    <x v="156"/>
    <d v="2024-11-22T00:00:00"/>
    <n v="0"/>
    <x v="0"/>
    <x v="10"/>
    <n v="0"/>
    <x v="0"/>
    <x v="10"/>
  </r>
  <r>
    <x v="739"/>
    <x v="4"/>
    <x v="13"/>
    <x v="7"/>
    <x v="176"/>
    <x v="2"/>
    <x v="0"/>
    <x v="227"/>
    <d v="2024-08-06T00:00:00"/>
    <n v="0"/>
    <x v="0"/>
    <x v="6"/>
    <n v="0"/>
    <x v="0"/>
    <x v="6"/>
  </r>
  <r>
    <x v="740"/>
    <x v="1"/>
    <x v="11"/>
    <x v="3"/>
    <x v="177"/>
    <x v="1"/>
    <x v="4"/>
    <x v="228"/>
    <d v="2024-08-04T00:00:00"/>
    <n v="1"/>
    <x v="1"/>
    <x v="6"/>
    <n v="1"/>
    <x v="1"/>
    <x v="6"/>
  </r>
  <r>
    <x v="741"/>
    <x v="2"/>
    <x v="2"/>
    <x v="3"/>
    <x v="178"/>
    <x v="2"/>
    <x v="0"/>
    <x v="229"/>
    <d v="2024-10-20T00:00:00"/>
    <n v="0"/>
    <x v="0"/>
    <x v="9"/>
    <n v="0"/>
    <x v="0"/>
    <x v="9"/>
  </r>
  <r>
    <x v="742"/>
    <x v="2"/>
    <x v="2"/>
    <x v="1"/>
    <x v="179"/>
    <x v="2"/>
    <x v="1"/>
    <x v="165"/>
    <d v="2024-11-19T00:00:00"/>
    <n v="0"/>
    <x v="0"/>
    <x v="10"/>
    <n v="0"/>
    <x v="0"/>
    <x v="10"/>
  </r>
  <r>
    <x v="743"/>
    <x v="2"/>
    <x v="5"/>
    <x v="5"/>
    <x v="180"/>
    <x v="1"/>
    <x v="4"/>
    <x v="179"/>
    <d v="2024-08-14T00:00:00"/>
    <n v="0"/>
    <x v="0"/>
    <x v="6"/>
    <n v="0"/>
    <x v="0"/>
    <x v="6"/>
  </r>
  <r>
    <x v="744"/>
    <x v="4"/>
    <x v="4"/>
    <x v="3"/>
    <x v="181"/>
    <x v="2"/>
    <x v="0"/>
    <x v="163"/>
    <d v="2024-07-01T00:00:00"/>
    <n v="0"/>
    <x v="0"/>
    <x v="8"/>
    <n v="0"/>
    <x v="0"/>
    <x v="8"/>
  </r>
  <r>
    <x v="745"/>
    <x v="2"/>
    <x v="14"/>
    <x v="6"/>
    <x v="182"/>
    <x v="0"/>
    <x v="2"/>
    <x v="121"/>
    <d v="2024-12-03T00:00:00"/>
    <n v="1"/>
    <x v="1"/>
    <x v="7"/>
    <n v="1"/>
    <x v="1"/>
    <x v="7"/>
  </r>
  <r>
    <x v="746"/>
    <x v="3"/>
    <x v="6"/>
    <x v="4"/>
    <x v="183"/>
    <x v="2"/>
    <x v="2"/>
    <x v="230"/>
    <d v="2024-08-18T00:00:00"/>
    <n v="0"/>
    <x v="0"/>
    <x v="6"/>
    <n v="0"/>
    <x v="0"/>
    <x v="6"/>
  </r>
  <r>
    <x v="747"/>
    <x v="3"/>
    <x v="3"/>
    <x v="3"/>
    <x v="184"/>
    <x v="2"/>
    <x v="3"/>
    <x v="221"/>
    <d v="2024-08-21T00:00:00"/>
    <n v="0"/>
    <x v="0"/>
    <x v="6"/>
    <n v="0"/>
    <x v="0"/>
    <x v="6"/>
  </r>
  <r>
    <x v="748"/>
    <x v="0"/>
    <x v="7"/>
    <x v="0"/>
    <x v="185"/>
    <x v="0"/>
    <x v="2"/>
    <x v="231"/>
    <d v="2024-09-29T00:00:00"/>
    <n v="0"/>
    <x v="0"/>
    <x v="11"/>
    <n v="0"/>
    <x v="0"/>
    <x v="11"/>
  </r>
  <r>
    <x v="749"/>
    <x v="1"/>
    <x v="1"/>
    <x v="1"/>
    <x v="186"/>
    <x v="1"/>
    <x v="0"/>
    <x v="206"/>
    <d v="2024-09-30T00:00:00"/>
    <n v="0"/>
    <x v="0"/>
    <x v="11"/>
    <n v="0"/>
    <x v="0"/>
    <x v="11"/>
  </r>
  <r>
    <x v="750"/>
    <x v="3"/>
    <x v="6"/>
    <x v="1"/>
    <x v="187"/>
    <x v="2"/>
    <x v="5"/>
    <x v="201"/>
    <d v="2024-12-07T00:00:00"/>
    <n v="0"/>
    <x v="0"/>
    <x v="7"/>
    <n v="0"/>
    <x v="0"/>
    <x v="7"/>
  </r>
  <r>
    <x v="751"/>
    <x v="0"/>
    <x v="0"/>
    <x v="3"/>
    <x v="188"/>
    <x v="1"/>
    <x v="1"/>
    <x v="227"/>
    <d v="2024-08-06T00:00:00"/>
    <n v="0"/>
    <x v="0"/>
    <x v="6"/>
    <n v="0"/>
    <x v="0"/>
    <x v="6"/>
  </r>
  <r>
    <x v="752"/>
    <x v="2"/>
    <x v="5"/>
    <x v="4"/>
    <x v="189"/>
    <x v="2"/>
    <x v="2"/>
    <x v="201"/>
    <d v="2024-12-07T00:00:00"/>
    <n v="0"/>
    <x v="0"/>
    <x v="7"/>
    <n v="0"/>
    <x v="0"/>
    <x v="7"/>
  </r>
  <r>
    <x v="753"/>
    <x v="2"/>
    <x v="2"/>
    <x v="3"/>
    <x v="190"/>
    <x v="1"/>
    <x v="4"/>
    <x v="163"/>
    <d v="2024-07-01T00:00:00"/>
    <n v="0"/>
    <x v="0"/>
    <x v="8"/>
    <n v="0"/>
    <x v="0"/>
    <x v="8"/>
  </r>
  <r>
    <x v="754"/>
    <x v="3"/>
    <x v="9"/>
    <x v="0"/>
    <x v="191"/>
    <x v="1"/>
    <x v="4"/>
    <x v="232"/>
    <d v="2024-09-03T00:00:00"/>
    <n v="0"/>
    <x v="0"/>
    <x v="11"/>
    <n v="0"/>
    <x v="0"/>
    <x v="11"/>
  </r>
  <r>
    <x v="755"/>
    <x v="2"/>
    <x v="2"/>
    <x v="3"/>
    <x v="192"/>
    <x v="0"/>
    <x v="3"/>
    <x v="233"/>
    <d v="2024-07-19T00:00:00"/>
    <n v="0"/>
    <x v="0"/>
    <x v="8"/>
    <n v="0"/>
    <x v="0"/>
    <x v="8"/>
  </r>
  <r>
    <x v="756"/>
    <x v="1"/>
    <x v="10"/>
    <x v="6"/>
    <x v="193"/>
    <x v="1"/>
    <x v="1"/>
    <x v="147"/>
    <d v="2024-10-25T00:00:00"/>
    <n v="0"/>
    <x v="0"/>
    <x v="9"/>
    <n v="0"/>
    <x v="0"/>
    <x v="9"/>
  </r>
  <r>
    <x v="757"/>
    <x v="1"/>
    <x v="1"/>
    <x v="4"/>
    <x v="194"/>
    <x v="1"/>
    <x v="3"/>
    <x v="121"/>
    <d v="2024-12-02T00:00:00"/>
    <n v="0"/>
    <x v="0"/>
    <x v="7"/>
    <n v="0"/>
    <x v="0"/>
    <x v="7"/>
  </r>
  <r>
    <x v="758"/>
    <x v="1"/>
    <x v="10"/>
    <x v="1"/>
    <x v="195"/>
    <x v="1"/>
    <x v="0"/>
    <x v="191"/>
    <d v="2024-11-03T00:00:00"/>
    <n v="0"/>
    <x v="0"/>
    <x v="10"/>
    <n v="0"/>
    <x v="0"/>
    <x v="10"/>
  </r>
  <r>
    <x v="759"/>
    <x v="4"/>
    <x v="4"/>
    <x v="3"/>
    <x v="196"/>
    <x v="1"/>
    <x v="0"/>
    <x v="128"/>
    <d v="2024-11-16T00:00:00"/>
    <n v="0"/>
    <x v="0"/>
    <x v="10"/>
    <n v="0"/>
    <x v="0"/>
    <x v="10"/>
  </r>
  <r>
    <x v="760"/>
    <x v="0"/>
    <x v="0"/>
    <x v="0"/>
    <x v="0"/>
    <x v="0"/>
    <x v="0"/>
    <x v="120"/>
    <d v="2024-08-20T00:00:00"/>
    <n v="0"/>
    <x v="0"/>
    <x v="6"/>
    <n v="0"/>
    <x v="0"/>
    <x v="6"/>
  </r>
  <r>
    <x v="761"/>
    <x v="1"/>
    <x v="1"/>
    <x v="1"/>
    <x v="1"/>
    <x v="1"/>
    <x v="1"/>
    <x v="121"/>
    <d v="2024-12-02T00:00:00"/>
    <n v="0"/>
    <x v="0"/>
    <x v="7"/>
    <n v="0"/>
    <x v="0"/>
    <x v="7"/>
  </r>
  <r>
    <x v="762"/>
    <x v="2"/>
    <x v="2"/>
    <x v="2"/>
    <x v="2"/>
    <x v="1"/>
    <x v="2"/>
    <x v="122"/>
    <d v="2024-08-09T00:00:00"/>
    <n v="0"/>
    <x v="0"/>
    <x v="6"/>
    <n v="0"/>
    <x v="0"/>
    <x v="6"/>
  </r>
  <r>
    <x v="763"/>
    <x v="3"/>
    <x v="3"/>
    <x v="3"/>
    <x v="3"/>
    <x v="2"/>
    <x v="0"/>
    <x v="123"/>
    <d v="2024-12-01T00:00:00"/>
    <n v="0"/>
    <x v="0"/>
    <x v="7"/>
    <n v="0"/>
    <x v="0"/>
    <x v="7"/>
  </r>
  <r>
    <x v="764"/>
    <x v="4"/>
    <x v="4"/>
    <x v="7"/>
    <x v="4"/>
    <x v="2"/>
    <x v="3"/>
    <x v="124"/>
    <d v="2024-07-13T00:00:00"/>
    <n v="0"/>
    <x v="0"/>
    <x v="8"/>
    <n v="0"/>
    <x v="0"/>
    <x v="8"/>
  </r>
  <r>
    <x v="765"/>
    <x v="1"/>
    <x v="1"/>
    <x v="0"/>
    <x v="5"/>
    <x v="2"/>
    <x v="4"/>
    <x v="125"/>
    <d v="2024-08-17T00:00:00"/>
    <n v="1"/>
    <x v="1"/>
    <x v="6"/>
    <n v="1"/>
    <x v="1"/>
    <x v="6"/>
  </r>
  <r>
    <x v="766"/>
    <x v="2"/>
    <x v="5"/>
    <x v="0"/>
    <x v="6"/>
    <x v="2"/>
    <x v="4"/>
    <x v="126"/>
    <d v="2024-07-23T00:00:00"/>
    <n v="0"/>
    <x v="0"/>
    <x v="8"/>
    <n v="0"/>
    <x v="0"/>
    <x v="8"/>
  </r>
  <r>
    <x v="767"/>
    <x v="2"/>
    <x v="5"/>
    <x v="2"/>
    <x v="7"/>
    <x v="0"/>
    <x v="2"/>
    <x v="127"/>
    <d v="2024-10-18T00:00:00"/>
    <n v="0"/>
    <x v="0"/>
    <x v="9"/>
    <n v="0"/>
    <x v="0"/>
    <x v="9"/>
  </r>
  <r>
    <x v="768"/>
    <x v="4"/>
    <x v="13"/>
    <x v="3"/>
    <x v="8"/>
    <x v="2"/>
    <x v="5"/>
    <x v="128"/>
    <d v="2024-11-16T00:00:00"/>
    <n v="0"/>
    <x v="0"/>
    <x v="10"/>
    <n v="0"/>
    <x v="0"/>
    <x v="10"/>
  </r>
  <r>
    <x v="769"/>
    <x v="3"/>
    <x v="6"/>
    <x v="2"/>
    <x v="9"/>
    <x v="1"/>
    <x v="3"/>
    <x v="129"/>
    <d v="2024-10-02T00:00:00"/>
    <n v="0"/>
    <x v="0"/>
    <x v="9"/>
    <n v="0"/>
    <x v="0"/>
    <x v="9"/>
  </r>
  <r>
    <x v="770"/>
    <x v="0"/>
    <x v="7"/>
    <x v="1"/>
    <x v="10"/>
    <x v="1"/>
    <x v="2"/>
    <x v="130"/>
    <d v="2024-11-25T00:00:00"/>
    <n v="0"/>
    <x v="0"/>
    <x v="10"/>
    <n v="0"/>
    <x v="0"/>
    <x v="10"/>
  </r>
  <r>
    <x v="771"/>
    <x v="0"/>
    <x v="8"/>
    <x v="3"/>
    <x v="11"/>
    <x v="2"/>
    <x v="4"/>
    <x v="131"/>
    <d v="2024-12-08T00:00:00"/>
    <n v="0"/>
    <x v="0"/>
    <x v="7"/>
    <n v="0"/>
    <x v="0"/>
    <x v="7"/>
  </r>
  <r>
    <x v="772"/>
    <x v="3"/>
    <x v="3"/>
    <x v="2"/>
    <x v="12"/>
    <x v="1"/>
    <x v="5"/>
    <x v="132"/>
    <d v="2024-08-22T00:00:00"/>
    <n v="0"/>
    <x v="0"/>
    <x v="6"/>
    <n v="0"/>
    <x v="0"/>
    <x v="6"/>
  </r>
  <r>
    <x v="773"/>
    <x v="0"/>
    <x v="0"/>
    <x v="4"/>
    <x v="13"/>
    <x v="0"/>
    <x v="2"/>
    <x v="120"/>
    <d v="2024-08-20T00:00:00"/>
    <n v="0"/>
    <x v="0"/>
    <x v="6"/>
    <n v="0"/>
    <x v="0"/>
    <x v="6"/>
  </r>
  <r>
    <x v="774"/>
    <x v="3"/>
    <x v="9"/>
    <x v="4"/>
    <x v="14"/>
    <x v="0"/>
    <x v="0"/>
    <x v="133"/>
    <d v="2024-12-09T00:00:00"/>
    <n v="0"/>
    <x v="0"/>
    <x v="7"/>
    <n v="0"/>
    <x v="0"/>
    <x v="7"/>
  </r>
  <r>
    <x v="775"/>
    <x v="0"/>
    <x v="8"/>
    <x v="4"/>
    <x v="15"/>
    <x v="2"/>
    <x v="2"/>
    <x v="134"/>
    <d v="2024-07-05T00:00:00"/>
    <n v="0"/>
    <x v="0"/>
    <x v="8"/>
    <n v="0"/>
    <x v="0"/>
    <x v="8"/>
  </r>
  <r>
    <x v="776"/>
    <x v="0"/>
    <x v="7"/>
    <x v="3"/>
    <x v="16"/>
    <x v="0"/>
    <x v="0"/>
    <x v="135"/>
    <d v="2024-09-10T00:00:00"/>
    <n v="0"/>
    <x v="0"/>
    <x v="11"/>
    <n v="0"/>
    <x v="0"/>
    <x v="11"/>
  </r>
  <r>
    <x v="777"/>
    <x v="1"/>
    <x v="10"/>
    <x v="3"/>
    <x v="17"/>
    <x v="2"/>
    <x v="0"/>
    <x v="136"/>
    <d v="2024-10-23T00:00:00"/>
    <n v="0"/>
    <x v="0"/>
    <x v="9"/>
    <n v="0"/>
    <x v="0"/>
    <x v="9"/>
  </r>
  <r>
    <x v="778"/>
    <x v="0"/>
    <x v="0"/>
    <x v="5"/>
    <x v="18"/>
    <x v="0"/>
    <x v="3"/>
    <x v="134"/>
    <d v="2024-07-05T00:00:00"/>
    <n v="0"/>
    <x v="0"/>
    <x v="8"/>
    <n v="0"/>
    <x v="0"/>
    <x v="8"/>
  </r>
  <r>
    <x v="779"/>
    <x v="0"/>
    <x v="7"/>
    <x v="3"/>
    <x v="19"/>
    <x v="0"/>
    <x v="3"/>
    <x v="137"/>
    <d v="2024-08-04T00:00:00"/>
    <n v="0"/>
    <x v="0"/>
    <x v="6"/>
    <n v="0"/>
    <x v="0"/>
    <x v="6"/>
  </r>
  <r>
    <x v="780"/>
    <x v="2"/>
    <x v="5"/>
    <x v="3"/>
    <x v="20"/>
    <x v="2"/>
    <x v="0"/>
    <x v="138"/>
    <d v="2024-08-07T00:00:00"/>
    <n v="0"/>
    <x v="0"/>
    <x v="6"/>
    <n v="0"/>
    <x v="0"/>
    <x v="6"/>
  </r>
  <r>
    <x v="781"/>
    <x v="3"/>
    <x v="3"/>
    <x v="6"/>
    <x v="21"/>
    <x v="2"/>
    <x v="0"/>
    <x v="139"/>
    <d v="2024-07-10T00:00:00"/>
    <n v="0"/>
    <x v="0"/>
    <x v="8"/>
    <n v="0"/>
    <x v="0"/>
    <x v="8"/>
  </r>
  <r>
    <x v="782"/>
    <x v="3"/>
    <x v="9"/>
    <x v="3"/>
    <x v="22"/>
    <x v="1"/>
    <x v="5"/>
    <x v="140"/>
    <d v="2024-11-01T00:00:00"/>
    <n v="0"/>
    <x v="0"/>
    <x v="10"/>
    <n v="0"/>
    <x v="0"/>
    <x v="10"/>
  </r>
  <r>
    <x v="783"/>
    <x v="0"/>
    <x v="0"/>
    <x v="0"/>
    <x v="23"/>
    <x v="0"/>
    <x v="2"/>
    <x v="141"/>
    <d v="2024-09-26T00:00:00"/>
    <n v="0"/>
    <x v="0"/>
    <x v="11"/>
    <n v="0"/>
    <x v="0"/>
    <x v="11"/>
  </r>
  <r>
    <x v="784"/>
    <x v="1"/>
    <x v="11"/>
    <x v="4"/>
    <x v="24"/>
    <x v="1"/>
    <x v="1"/>
    <x v="142"/>
    <d v="2024-07-31T00:00:00"/>
    <n v="0"/>
    <x v="0"/>
    <x v="8"/>
    <n v="0"/>
    <x v="0"/>
    <x v="8"/>
  </r>
  <r>
    <x v="785"/>
    <x v="4"/>
    <x v="12"/>
    <x v="7"/>
    <x v="25"/>
    <x v="2"/>
    <x v="5"/>
    <x v="143"/>
    <d v="2024-10-10T00:00:00"/>
    <n v="0"/>
    <x v="0"/>
    <x v="9"/>
    <n v="0"/>
    <x v="0"/>
    <x v="9"/>
  </r>
  <r>
    <x v="786"/>
    <x v="4"/>
    <x v="13"/>
    <x v="1"/>
    <x v="26"/>
    <x v="1"/>
    <x v="4"/>
    <x v="144"/>
    <d v="2024-07-24T00:00:00"/>
    <n v="0"/>
    <x v="0"/>
    <x v="8"/>
    <n v="0"/>
    <x v="0"/>
    <x v="8"/>
  </r>
  <r>
    <x v="787"/>
    <x v="1"/>
    <x v="1"/>
    <x v="7"/>
    <x v="27"/>
    <x v="0"/>
    <x v="3"/>
    <x v="139"/>
    <d v="2024-07-10T00:00:00"/>
    <n v="0"/>
    <x v="0"/>
    <x v="8"/>
    <n v="0"/>
    <x v="0"/>
    <x v="8"/>
  </r>
  <r>
    <x v="788"/>
    <x v="0"/>
    <x v="0"/>
    <x v="3"/>
    <x v="29"/>
    <x v="0"/>
    <x v="1"/>
    <x v="142"/>
    <d v="2024-07-31T00:00:00"/>
    <n v="0"/>
    <x v="0"/>
    <x v="8"/>
    <n v="0"/>
    <x v="0"/>
    <x v="8"/>
  </r>
  <r>
    <x v="789"/>
    <x v="2"/>
    <x v="5"/>
    <x v="3"/>
    <x v="30"/>
    <x v="2"/>
    <x v="0"/>
    <x v="145"/>
    <d v="2024-11-18T00:00:00"/>
    <n v="0"/>
    <x v="0"/>
    <x v="10"/>
    <n v="0"/>
    <x v="0"/>
    <x v="10"/>
  </r>
  <r>
    <x v="790"/>
    <x v="0"/>
    <x v="0"/>
    <x v="5"/>
    <x v="31"/>
    <x v="1"/>
    <x v="1"/>
    <x v="146"/>
    <d v="2024-08-08T00:00:00"/>
    <n v="0"/>
    <x v="0"/>
    <x v="6"/>
    <n v="0"/>
    <x v="0"/>
    <x v="6"/>
  </r>
  <r>
    <x v="791"/>
    <x v="0"/>
    <x v="8"/>
    <x v="4"/>
    <x v="32"/>
    <x v="1"/>
    <x v="3"/>
    <x v="124"/>
    <d v="2024-07-13T00:00:00"/>
    <n v="0"/>
    <x v="0"/>
    <x v="8"/>
    <n v="0"/>
    <x v="0"/>
    <x v="8"/>
  </r>
  <r>
    <x v="792"/>
    <x v="3"/>
    <x v="3"/>
    <x v="5"/>
    <x v="33"/>
    <x v="1"/>
    <x v="3"/>
    <x v="147"/>
    <d v="2024-10-25T00:00:00"/>
    <n v="0"/>
    <x v="0"/>
    <x v="9"/>
    <n v="0"/>
    <x v="0"/>
    <x v="9"/>
  </r>
  <r>
    <x v="793"/>
    <x v="0"/>
    <x v="7"/>
    <x v="5"/>
    <x v="34"/>
    <x v="2"/>
    <x v="1"/>
    <x v="148"/>
    <d v="2024-07-28T00:00:00"/>
    <n v="0"/>
    <x v="0"/>
    <x v="8"/>
    <n v="0"/>
    <x v="0"/>
    <x v="8"/>
  </r>
  <r>
    <x v="794"/>
    <x v="3"/>
    <x v="9"/>
    <x v="6"/>
    <x v="35"/>
    <x v="0"/>
    <x v="4"/>
    <x v="149"/>
    <d v="2024-09-07T00:00:00"/>
    <n v="0"/>
    <x v="0"/>
    <x v="11"/>
    <n v="0"/>
    <x v="0"/>
    <x v="11"/>
  </r>
  <r>
    <x v="795"/>
    <x v="0"/>
    <x v="0"/>
    <x v="3"/>
    <x v="36"/>
    <x v="2"/>
    <x v="3"/>
    <x v="150"/>
    <d v="2024-12-06T00:00:00"/>
    <n v="0"/>
    <x v="0"/>
    <x v="7"/>
    <n v="0"/>
    <x v="0"/>
    <x v="7"/>
  </r>
  <r>
    <x v="796"/>
    <x v="1"/>
    <x v="10"/>
    <x v="0"/>
    <x v="37"/>
    <x v="0"/>
    <x v="2"/>
    <x v="151"/>
    <d v="2024-11-02T00:00:00"/>
    <n v="0"/>
    <x v="0"/>
    <x v="10"/>
    <n v="0"/>
    <x v="0"/>
    <x v="10"/>
  </r>
  <r>
    <x v="797"/>
    <x v="1"/>
    <x v="10"/>
    <x v="1"/>
    <x v="38"/>
    <x v="2"/>
    <x v="1"/>
    <x v="137"/>
    <d v="2024-08-04T00:00:00"/>
    <n v="0"/>
    <x v="0"/>
    <x v="6"/>
    <n v="0"/>
    <x v="0"/>
    <x v="6"/>
  </r>
  <r>
    <x v="798"/>
    <x v="0"/>
    <x v="7"/>
    <x v="4"/>
    <x v="39"/>
    <x v="0"/>
    <x v="0"/>
    <x v="152"/>
    <d v="2024-08-23T00:00:00"/>
    <n v="0"/>
    <x v="0"/>
    <x v="6"/>
    <n v="0"/>
    <x v="0"/>
    <x v="6"/>
  </r>
  <r>
    <x v="799"/>
    <x v="4"/>
    <x v="13"/>
    <x v="4"/>
    <x v="40"/>
    <x v="2"/>
    <x v="1"/>
    <x v="153"/>
    <d v="2024-09-08T00:00:00"/>
    <n v="0"/>
    <x v="0"/>
    <x v="11"/>
    <n v="0"/>
    <x v="0"/>
    <x v="11"/>
  </r>
  <r>
    <x v="800"/>
    <x v="4"/>
    <x v="13"/>
    <x v="3"/>
    <x v="41"/>
    <x v="1"/>
    <x v="1"/>
    <x v="154"/>
    <d v="2024-10-15T00:00:00"/>
    <n v="0"/>
    <x v="0"/>
    <x v="9"/>
    <n v="0"/>
    <x v="0"/>
    <x v="9"/>
  </r>
  <r>
    <x v="801"/>
    <x v="4"/>
    <x v="12"/>
    <x v="2"/>
    <x v="42"/>
    <x v="2"/>
    <x v="0"/>
    <x v="155"/>
    <d v="2024-10-12T00:00:00"/>
    <n v="0"/>
    <x v="0"/>
    <x v="9"/>
    <n v="0"/>
    <x v="0"/>
    <x v="9"/>
  </r>
  <r>
    <x v="802"/>
    <x v="1"/>
    <x v="1"/>
    <x v="2"/>
    <x v="43"/>
    <x v="1"/>
    <x v="3"/>
    <x v="156"/>
    <d v="2024-11-22T00:00:00"/>
    <n v="0"/>
    <x v="0"/>
    <x v="10"/>
    <n v="0"/>
    <x v="0"/>
    <x v="10"/>
  </r>
  <r>
    <x v="803"/>
    <x v="2"/>
    <x v="2"/>
    <x v="2"/>
    <x v="44"/>
    <x v="2"/>
    <x v="3"/>
    <x v="157"/>
    <d v="2024-07-30T00:00:00"/>
    <n v="0"/>
    <x v="0"/>
    <x v="8"/>
    <n v="0"/>
    <x v="0"/>
    <x v="8"/>
  </r>
  <r>
    <x v="804"/>
    <x v="2"/>
    <x v="2"/>
    <x v="5"/>
    <x v="45"/>
    <x v="2"/>
    <x v="1"/>
    <x v="158"/>
    <d v="2024-11-06T00:00:00"/>
    <n v="0"/>
    <x v="0"/>
    <x v="10"/>
    <n v="0"/>
    <x v="0"/>
    <x v="10"/>
  </r>
  <r>
    <x v="805"/>
    <x v="0"/>
    <x v="0"/>
    <x v="3"/>
    <x v="46"/>
    <x v="0"/>
    <x v="0"/>
    <x v="159"/>
    <d v="2024-11-27T00:00:00"/>
    <n v="0"/>
    <x v="0"/>
    <x v="10"/>
    <n v="0"/>
    <x v="0"/>
    <x v="10"/>
  </r>
  <r>
    <x v="806"/>
    <x v="0"/>
    <x v="0"/>
    <x v="3"/>
    <x v="47"/>
    <x v="2"/>
    <x v="4"/>
    <x v="160"/>
    <d v="2024-09-21T00:00:00"/>
    <n v="0"/>
    <x v="0"/>
    <x v="11"/>
    <n v="0"/>
    <x v="0"/>
    <x v="11"/>
  </r>
  <r>
    <x v="807"/>
    <x v="4"/>
    <x v="12"/>
    <x v="5"/>
    <x v="48"/>
    <x v="2"/>
    <x v="2"/>
    <x v="159"/>
    <d v="2024-11-27T00:00:00"/>
    <n v="0"/>
    <x v="0"/>
    <x v="10"/>
    <n v="0"/>
    <x v="0"/>
    <x v="10"/>
  </r>
  <r>
    <x v="808"/>
    <x v="4"/>
    <x v="4"/>
    <x v="2"/>
    <x v="49"/>
    <x v="2"/>
    <x v="2"/>
    <x v="162"/>
    <d v="2024-10-08T00:00:00"/>
    <n v="0"/>
    <x v="0"/>
    <x v="9"/>
    <n v="0"/>
    <x v="0"/>
    <x v="9"/>
  </r>
  <r>
    <x v="809"/>
    <x v="4"/>
    <x v="13"/>
    <x v="7"/>
    <x v="50"/>
    <x v="2"/>
    <x v="0"/>
    <x v="163"/>
    <d v="2024-07-01T00:00:00"/>
    <n v="0"/>
    <x v="0"/>
    <x v="8"/>
    <n v="0"/>
    <x v="0"/>
    <x v="8"/>
  </r>
  <r>
    <x v="810"/>
    <x v="0"/>
    <x v="0"/>
    <x v="6"/>
    <x v="51"/>
    <x v="0"/>
    <x v="4"/>
    <x v="133"/>
    <d v="2024-12-09T00:00:00"/>
    <n v="0"/>
    <x v="0"/>
    <x v="7"/>
    <n v="0"/>
    <x v="0"/>
    <x v="7"/>
  </r>
  <r>
    <x v="811"/>
    <x v="2"/>
    <x v="14"/>
    <x v="1"/>
    <x v="52"/>
    <x v="0"/>
    <x v="3"/>
    <x v="164"/>
    <d v="2024-11-11T00:00:00"/>
    <n v="0"/>
    <x v="0"/>
    <x v="10"/>
    <n v="0"/>
    <x v="0"/>
    <x v="10"/>
  </r>
  <r>
    <x v="812"/>
    <x v="0"/>
    <x v="0"/>
    <x v="4"/>
    <x v="53"/>
    <x v="0"/>
    <x v="0"/>
    <x v="136"/>
    <d v="2024-10-23T00:00:00"/>
    <n v="0"/>
    <x v="0"/>
    <x v="9"/>
    <n v="0"/>
    <x v="0"/>
    <x v="9"/>
  </r>
  <r>
    <x v="813"/>
    <x v="1"/>
    <x v="10"/>
    <x v="3"/>
    <x v="54"/>
    <x v="2"/>
    <x v="2"/>
    <x v="164"/>
    <d v="2024-11-11T00:00:00"/>
    <n v="0"/>
    <x v="0"/>
    <x v="10"/>
    <n v="0"/>
    <x v="0"/>
    <x v="10"/>
  </r>
  <r>
    <x v="814"/>
    <x v="3"/>
    <x v="9"/>
    <x v="5"/>
    <x v="55"/>
    <x v="0"/>
    <x v="5"/>
    <x v="124"/>
    <d v="2024-07-13T00:00:00"/>
    <n v="0"/>
    <x v="0"/>
    <x v="8"/>
    <n v="0"/>
    <x v="0"/>
    <x v="8"/>
  </r>
  <r>
    <x v="815"/>
    <x v="3"/>
    <x v="9"/>
    <x v="4"/>
    <x v="56"/>
    <x v="1"/>
    <x v="4"/>
    <x v="165"/>
    <d v="2024-11-19T00:00:00"/>
    <n v="0"/>
    <x v="0"/>
    <x v="10"/>
    <n v="0"/>
    <x v="0"/>
    <x v="10"/>
  </r>
  <r>
    <x v="816"/>
    <x v="0"/>
    <x v="7"/>
    <x v="6"/>
    <x v="57"/>
    <x v="0"/>
    <x v="4"/>
    <x v="166"/>
    <d v="2024-10-14T00:00:00"/>
    <n v="0"/>
    <x v="0"/>
    <x v="9"/>
    <n v="0"/>
    <x v="0"/>
    <x v="9"/>
  </r>
  <r>
    <x v="817"/>
    <x v="3"/>
    <x v="6"/>
    <x v="3"/>
    <x v="58"/>
    <x v="1"/>
    <x v="5"/>
    <x v="167"/>
    <d v="2024-10-07T00:00:00"/>
    <n v="0"/>
    <x v="0"/>
    <x v="9"/>
    <n v="0"/>
    <x v="0"/>
    <x v="9"/>
  </r>
  <r>
    <x v="818"/>
    <x v="1"/>
    <x v="10"/>
    <x v="1"/>
    <x v="59"/>
    <x v="2"/>
    <x v="4"/>
    <x v="168"/>
    <d v="2024-11-04T00:00:00"/>
    <n v="0"/>
    <x v="0"/>
    <x v="10"/>
    <n v="0"/>
    <x v="0"/>
    <x v="10"/>
  </r>
  <r>
    <x v="819"/>
    <x v="0"/>
    <x v="0"/>
    <x v="2"/>
    <x v="60"/>
    <x v="0"/>
    <x v="4"/>
    <x v="120"/>
    <d v="2024-08-20T00:00:00"/>
    <n v="0"/>
    <x v="0"/>
    <x v="6"/>
    <n v="0"/>
    <x v="0"/>
    <x v="6"/>
  </r>
  <r>
    <x v="820"/>
    <x v="2"/>
    <x v="5"/>
    <x v="3"/>
    <x v="61"/>
    <x v="2"/>
    <x v="2"/>
    <x v="145"/>
    <d v="2024-11-18T00:00:00"/>
    <n v="0"/>
    <x v="0"/>
    <x v="10"/>
    <n v="0"/>
    <x v="0"/>
    <x v="10"/>
  </r>
  <r>
    <x v="821"/>
    <x v="0"/>
    <x v="7"/>
    <x v="5"/>
    <x v="62"/>
    <x v="1"/>
    <x v="5"/>
    <x v="162"/>
    <d v="2024-10-08T00:00:00"/>
    <n v="0"/>
    <x v="0"/>
    <x v="9"/>
    <n v="0"/>
    <x v="0"/>
    <x v="9"/>
  </r>
  <r>
    <x v="822"/>
    <x v="0"/>
    <x v="8"/>
    <x v="7"/>
    <x v="63"/>
    <x v="1"/>
    <x v="4"/>
    <x v="169"/>
    <d v="2024-09-01T00:00:00"/>
    <n v="0"/>
    <x v="0"/>
    <x v="11"/>
    <n v="0"/>
    <x v="0"/>
    <x v="11"/>
  </r>
  <r>
    <x v="823"/>
    <x v="2"/>
    <x v="5"/>
    <x v="3"/>
    <x v="64"/>
    <x v="2"/>
    <x v="0"/>
    <x v="170"/>
    <d v="2024-11-09T00:00:00"/>
    <n v="0"/>
    <x v="0"/>
    <x v="10"/>
    <n v="0"/>
    <x v="0"/>
    <x v="10"/>
  </r>
  <r>
    <x v="824"/>
    <x v="2"/>
    <x v="14"/>
    <x v="2"/>
    <x v="65"/>
    <x v="2"/>
    <x v="0"/>
    <x v="171"/>
    <d v="2024-07-18T00:00:00"/>
    <n v="0"/>
    <x v="0"/>
    <x v="8"/>
    <n v="0"/>
    <x v="0"/>
    <x v="8"/>
  </r>
  <r>
    <x v="825"/>
    <x v="0"/>
    <x v="7"/>
    <x v="4"/>
    <x v="66"/>
    <x v="0"/>
    <x v="0"/>
    <x v="159"/>
    <d v="2024-11-27T00:00:00"/>
    <n v="0"/>
    <x v="0"/>
    <x v="10"/>
    <n v="0"/>
    <x v="0"/>
    <x v="10"/>
  </r>
  <r>
    <x v="826"/>
    <x v="2"/>
    <x v="2"/>
    <x v="1"/>
    <x v="67"/>
    <x v="1"/>
    <x v="1"/>
    <x v="172"/>
    <d v="2024-10-24T00:00:00"/>
    <n v="0"/>
    <x v="0"/>
    <x v="9"/>
    <n v="0"/>
    <x v="0"/>
    <x v="9"/>
  </r>
  <r>
    <x v="827"/>
    <x v="0"/>
    <x v="0"/>
    <x v="4"/>
    <x v="68"/>
    <x v="1"/>
    <x v="2"/>
    <x v="173"/>
    <d v="2024-07-03T00:00:00"/>
    <n v="0"/>
    <x v="0"/>
    <x v="8"/>
    <n v="0"/>
    <x v="0"/>
    <x v="8"/>
  </r>
  <r>
    <x v="828"/>
    <x v="2"/>
    <x v="14"/>
    <x v="0"/>
    <x v="69"/>
    <x v="0"/>
    <x v="3"/>
    <x v="174"/>
    <d v="2024-10-26T00:00:00"/>
    <n v="0"/>
    <x v="0"/>
    <x v="9"/>
    <n v="0"/>
    <x v="0"/>
    <x v="9"/>
  </r>
  <r>
    <x v="829"/>
    <x v="1"/>
    <x v="11"/>
    <x v="1"/>
    <x v="70"/>
    <x v="2"/>
    <x v="1"/>
    <x v="152"/>
    <d v="2024-08-23T00:00:00"/>
    <n v="0"/>
    <x v="0"/>
    <x v="6"/>
    <n v="0"/>
    <x v="0"/>
    <x v="6"/>
  </r>
  <r>
    <x v="830"/>
    <x v="2"/>
    <x v="14"/>
    <x v="1"/>
    <x v="71"/>
    <x v="0"/>
    <x v="2"/>
    <x v="154"/>
    <d v="2024-10-15T00:00:00"/>
    <n v="0"/>
    <x v="0"/>
    <x v="9"/>
    <n v="0"/>
    <x v="0"/>
    <x v="9"/>
  </r>
  <r>
    <x v="831"/>
    <x v="1"/>
    <x v="10"/>
    <x v="6"/>
    <x v="72"/>
    <x v="0"/>
    <x v="3"/>
    <x v="175"/>
    <d v="2024-10-04T00:00:00"/>
    <n v="0"/>
    <x v="0"/>
    <x v="9"/>
    <n v="0"/>
    <x v="0"/>
    <x v="9"/>
  </r>
  <r>
    <x v="832"/>
    <x v="1"/>
    <x v="11"/>
    <x v="0"/>
    <x v="73"/>
    <x v="1"/>
    <x v="3"/>
    <x v="130"/>
    <d v="2024-11-25T00:00:00"/>
    <n v="0"/>
    <x v="0"/>
    <x v="10"/>
    <n v="0"/>
    <x v="0"/>
    <x v="10"/>
  </r>
  <r>
    <x v="833"/>
    <x v="1"/>
    <x v="11"/>
    <x v="1"/>
    <x v="74"/>
    <x v="1"/>
    <x v="3"/>
    <x v="176"/>
    <d v="2024-10-06T00:00:00"/>
    <n v="0"/>
    <x v="0"/>
    <x v="9"/>
    <n v="0"/>
    <x v="0"/>
    <x v="9"/>
  </r>
  <r>
    <x v="834"/>
    <x v="0"/>
    <x v="7"/>
    <x v="6"/>
    <x v="75"/>
    <x v="1"/>
    <x v="1"/>
    <x v="177"/>
    <d v="2024-09-20T00:00:00"/>
    <n v="0"/>
    <x v="0"/>
    <x v="11"/>
    <n v="0"/>
    <x v="0"/>
    <x v="11"/>
  </r>
  <r>
    <x v="835"/>
    <x v="1"/>
    <x v="10"/>
    <x v="1"/>
    <x v="76"/>
    <x v="1"/>
    <x v="2"/>
    <x v="178"/>
    <d v="2024-09-09T00:00:00"/>
    <n v="0"/>
    <x v="0"/>
    <x v="11"/>
    <n v="0"/>
    <x v="0"/>
    <x v="11"/>
  </r>
  <r>
    <x v="836"/>
    <x v="0"/>
    <x v="8"/>
    <x v="2"/>
    <x v="77"/>
    <x v="0"/>
    <x v="3"/>
    <x v="156"/>
    <d v="2024-11-22T00:00:00"/>
    <n v="0"/>
    <x v="0"/>
    <x v="10"/>
    <n v="0"/>
    <x v="0"/>
    <x v="10"/>
  </r>
  <r>
    <x v="837"/>
    <x v="2"/>
    <x v="2"/>
    <x v="6"/>
    <x v="78"/>
    <x v="0"/>
    <x v="2"/>
    <x v="168"/>
    <d v="2024-11-04T00:00:00"/>
    <n v="0"/>
    <x v="0"/>
    <x v="10"/>
    <n v="0"/>
    <x v="0"/>
    <x v="10"/>
  </r>
  <r>
    <x v="838"/>
    <x v="4"/>
    <x v="12"/>
    <x v="6"/>
    <x v="79"/>
    <x v="2"/>
    <x v="4"/>
    <x v="179"/>
    <d v="2024-08-14T00:00:00"/>
    <n v="0"/>
    <x v="0"/>
    <x v="6"/>
    <n v="0"/>
    <x v="0"/>
    <x v="6"/>
  </r>
  <r>
    <x v="839"/>
    <x v="2"/>
    <x v="14"/>
    <x v="4"/>
    <x v="80"/>
    <x v="0"/>
    <x v="3"/>
    <x v="180"/>
    <d v="2024-09-05T00:00:00"/>
    <n v="0"/>
    <x v="0"/>
    <x v="11"/>
    <n v="0"/>
    <x v="0"/>
    <x v="11"/>
  </r>
  <r>
    <x v="840"/>
    <x v="0"/>
    <x v="0"/>
    <x v="3"/>
    <x v="81"/>
    <x v="0"/>
    <x v="2"/>
    <x v="181"/>
    <d v="2024-10-27T00:00:00"/>
    <n v="0"/>
    <x v="0"/>
    <x v="9"/>
    <n v="0"/>
    <x v="0"/>
    <x v="9"/>
  </r>
  <r>
    <x v="841"/>
    <x v="3"/>
    <x v="3"/>
    <x v="7"/>
    <x v="82"/>
    <x v="2"/>
    <x v="0"/>
    <x v="166"/>
    <d v="2024-10-14T00:00:00"/>
    <n v="0"/>
    <x v="0"/>
    <x v="9"/>
    <n v="0"/>
    <x v="0"/>
    <x v="9"/>
  </r>
  <r>
    <x v="842"/>
    <x v="3"/>
    <x v="3"/>
    <x v="5"/>
    <x v="83"/>
    <x v="0"/>
    <x v="4"/>
    <x v="182"/>
    <d v="2024-08-17T00:00:00"/>
    <n v="0"/>
    <x v="0"/>
    <x v="6"/>
    <n v="0"/>
    <x v="0"/>
    <x v="6"/>
  </r>
  <r>
    <x v="843"/>
    <x v="2"/>
    <x v="5"/>
    <x v="4"/>
    <x v="84"/>
    <x v="0"/>
    <x v="2"/>
    <x v="141"/>
    <d v="2024-09-26T00:00:00"/>
    <n v="0"/>
    <x v="0"/>
    <x v="11"/>
    <n v="0"/>
    <x v="0"/>
    <x v="11"/>
  </r>
  <r>
    <x v="844"/>
    <x v="0"/>
    <x v="8"/>
    <x v="3"/>
    <x v="85"/>
    <x v="1"/>
    <x v="0"/>
    <x v="183"/>
    <d v="2024-11-26T00:00:00"/>
    <n v="0"/>
    <x v="0"/>
    <x v="10"/>
    <n v="0"/>
    <x v="0"/>
    <x v="10"/>
  </r>
  <r>
    <x v="845"/>
    <x v="2"/>
    <x v="14"/>
    <x v="3"/>
    <x v="86"/>
    <x v="1"/>
    <x v="1"/>
    <x v="181"/>
    <d v="2024-10-27T00:00:00"/>
    <n v="0"/>
    <x v="0"/>
    <x v="9"/>
    <n v="0"/>
    <x v="0"/>
    <x v="9"/>
  </r>
  <r>
    <x v="846"/>
    <x v="3"/>
    <x v="9"/>
    <x v="7"/>
    <x v="87"/>
    <x v="2"/>
    <x v="4"/>
    <x v="170"/>
    <d v="2024-11-09T00:00:00"/>
    <n v="0"/>
    <x v="0"/>
    <x v="10"/>
    <n v="0"/>
    <x v="0"/>
    <x v="10"/>
  </r>
  <r>
    <x v="847"/>
    <x v="0"/>
    <x v="0"/>
    <x v="6"/>
    <x v="88"/>
    <x v="1"/>
    <x v="3"/>
    <x v="149"/>
    <d v="2024-09-07T00:00:00"/>
    <n v="0"/>
    <x v="0"/>
    <x v="11"/>
    <n v="0"/>
    <x v="0"/>
    <x v="11"/>
  </r>
  <r>
    <x v="848"/>
    <x v="0"/>
    <x v="8"/>
    <x v="6"/>
    <x v="89"/>
    <x v="0"/>
    <x v="3"/>
    <x v="184"/>
    <d v="2024-10-19T00:00:00"/>
    <n v="0"/>
    <x v="0"/>
    <x v="9"/>
    <n v="0"/>
    <x v="0"/>
    <x v="9"/>
  </r>
  <r>
    <x v="849"/>
    <x v="4"/>
    <x v="4"/>
    <x v="7"/>
    <x v="90"/>
    <x v="1"/>
    <x v="5"/>
    <x v="185"/>
    <d v="2024-07-29T00:00:00"/>
    <n v="0"/>
    <x v="0"/>
    <x v="8"/>
    <n v="0"/>
    <x v="0"/>
    <x v="8"/>
  </r>
  <r>
    <x v="850"/>
    <x v="0"/>
    <x v="0"/>
    <x v="4"/>
    <x v="91"/>
    <x v="1"/>
    <x v="4"/>
    <x v="186"/>
    <d v="2024-09-15T00:00:00"/>
    <n v="0"/>
    <x v="0"/>
    <x v="11"/>
    <n v="0"/>
    <x v="0"/>
    <x v="11"/>
  </r>
  <r>
    <x v="851"/>
    <x v="2"/>
    <x v="14"/>
    <x v="3"/>
    <x v="92"/>
    <x v="2"/>
    <x v="5"/>
    <x v="160"/>
    <d v="2024-09-21T00:00:00"/>
    <n v="0"/>
    <x v="0"/>
    <x v="11"/>
    <n v="0"/>
    <x v="0"/>
    <x v="11"/>
  </r>
  <r>
    <x v="852"/>
    <x v="1"/>
    <x v="1"/>
    <x v="6"/>
    <x v="93"/>
    <x v="2"/>
    <x v="1"/>
    <x v="151"/>
    <d v="2024-11-02T00:00:00"/>
    <n v="0"/>
    <x v="0"/>
    <x v="10"/>
    <n v="0"/>
    <x v="0"/>
    <x v="10"/>
  </r>
  <r>
    <x v="853"/>
    <x v="3"/>
    <x v="6"/>
    <x v="5"/>
    <x v="94"/>
    <x v="1"/>
    <x v="2"/>
    <x v="139"/>
    <d v="2024-07-10T00:00:00"/>
    <n v="0"/>
    <x v="0"/>
    <x v="8"/>
    <n v="0"/>
    <x v="0"/>
    <x v="8"/>
  </r>
  <r>
    <x v="854"/>
    <x v="0"/>
    <x v="0"/>
    <x v="1"/>
    <x v="95"/>
    <x v="0"/>
    <x v="0"/>
    <x v="187"/>
    <d v="2024-10-17T00:00:00"/>
    <n v="0"/>
    <x v="0"/>
    <x v="9"/>
    <n v="0"/>
    <x v="0"/>
    <x v="9"/>
  </r>
  <r>
    <x v="855"/>
    <x v="1"/>
    <x v="1"/>
    <x v="2"/>
    <x v="96"/>
    <x v="1"/>
    <x v="4"/>
    <x v="188"/>
    <d v="2024-09-22T00:00:00"/>
    <n v="0"/>
    <x v="0"/>
    <x v="11"/>
    <n v="0"/>
    <x v="0"/>
    <x v="11"/>
  </r>
  <r>
    <x v="856"/>
    <x v="2"/>
    <x v="2"/>
    <x v="6"/>
    <x v="97"/>
    <x v="2"/>
    <x v="0"/>
    <x v="180"/>
    <d v="2024-09-05T00:00:00"/>
    <n v="0"/>
    <x v="0"/>
    <x v="11"/>
    <n v="0"/>
    <x v="0"/>
    <x v="11"/>
  </r>
  <r>
    <x v="857"/>
    <x v="1"/>
    <x v="11"/>
    <x v="4"/>
    <x v="98"/>
    <x v="1"/>
    <x v="2"/>
    <x v="157"/>
    <d v="2024-07-30T00:00:00"/>
    <n v="0"/>
    <x v="0"/>
    <x v="8"/>
    <n v="0"/>
    <x v="0"/>
    <x v="8"/>
  </r>
  <r>
    <x v="858"/>
    <x v="4"/>
    <x v="12"/>
    <x v="3"/>
    <x v="99"/>
    <x v="2"/>
    <x v="5"/>
    <x v="189"/>
    <d v="2024-07-12T00:00:00"/>
    <n v="0"/>
    <x v="0"/>
    <x v="8"/>
    <n v="0"/>
    <x v="0"/>
    <x v="8"/>
  </r>
  <r>
    <x v="859"/>
    <x v="4"/>
    <x v="13"/>
    <x v="6"/>
    <x v="100"/>
    <x v="1"/>
    <x v="4"/>
    <x v="190"/>
    <d v="2024-11-21T00:00:00"/>
    <n v="0"/>
    <x v="0"/>
    <x v="10"/>
    <n v="0"/>
    <x v="0"/>
    <x v="10"/>
  </r>
  <r>
    <x v="860"/>
    <x v="2"/>
    <x v="5"/>
    <x v="6"/>
    <x v="101"/>
    <x v="2"/>
    <x v="1"/>
    <x v="191"/>
    <d v="2024-11-03T00:00:00"/>
    <n v="0"/>
    <x v="0"/>
    <x v="10"/>
    <n v="0"/>
    <x v="0"/>
    <x v="10"/>
  </r>
  <r>
    <x v="861"/>
    <x v="4"/>
    <x v="13"/>
    <x v="2"/>
    <x v="102"/>
    <x v="2"/>
    <x v="5"/>
    <x v="170"/>
    <d v="2024-11-09T00:00:00"/>
    <n v="0"/>
    <x v="0"/>
    <x v="10"/>
    <n v="0"/>
    <x v="0"/>
    <x v="10"/>
  </r>
  <r>
    <x v="862"/>
    <x v="4"/>
    <x v="4"/>
    <x v="7"/>
    <x v="103"/>
    <x v="1"/>
    <x v="5"/>
    <x v="234"/>
    <d v="2024-12-18T00:00:00"/>
    <n v="0"/>
    <x v="0"/>
    <x v="7"/>
    <n v="0"/>
    <x v="0"/>
    <x v="7"/>
  </r>
  <r>
    <x v="863"/>
    <x v="2"/>
    <x v="5"/>
    <x v="7"/>
    <x v="104"/>
    <x v="0"/>
    <x v="3"/>
    <x v="192"/>
    <d v="2024-10-30T00:00:00"/>
    <n v="0"/>
    <x v="0"/>
    <x v="9"/>
    <n v="0"/>
    <x v="0"/>
    <x v="9"/>
  </r>
  <r>
    <x v="864"/>
    <x v="4"/>
    <x v="13"/>
    <x v="3"/>
    <x v="105"/>
    <x v="1"/>
    <x v="2"/>
    <x v="193"/>
    <d v="2024-10-09T00:00:00"/>
    <n v="0"/>
    <x v="0"/>
    <x v="9"/>
    <n v="0"/>
    <x v="0"/>
    <x v="9"/>
  </r>
  <r>
    <x v="865"/>
    <x v="3"/>
    <x v="9"/>
    <x v="1"/>
    <x v="106"/>
    <x v="2"/>
    <x v="3"/>
    <x v="174"/>
    <d v="2024-10-26T00:00:00"/>
    <n v="0"/>
    <x v="0"/>
    <x v="9"/>
    <n v="0"/>
    <x v="0"/>
    <x v="9"/>
  </r>
  <r>
    <x v="866"/>
    <x v="2"/>
    <x v="5"/>
    <x v="2"/>
    <x v="107"/>
    <x v="2"/>
    <x v="4"/>
    <x v="180"/>
    <d v="2024-09-06T00:00:00"/>
    <n v="1"/>
    <x v="1"/>
    <x v="11"/>
    <n v="1"/>
    <x v="1"/>
    <x v="11"/>
  </r>
  <r>
    <x v="867"/>
    <x v="2"/>
    <x v="2"/>
    <x v="3"/>
    <x v="108"/>
    <x v="2"/>
    <x v="2"/>
    <x v="145"/>
    <d v="2024-11-18T00:00:00"/>
    <n v="0"/>
    <x v="0"/>
    <x v="10"/>
    <n v="0"/>
    <x v="0"/>
    <x v="10"/>
  </r>
  <r>
    <x v="868"/>
    <x v="0"/>
    <x v="8"/>
    <x v="5"/>
    <x v="109"/>
    <x v="0"/>
    <x v="5"/>
    <x v="178"/>
    <d v="2024-09-09T00:00:00"/>
    <n v="0"/>
    <x v="0"/>
    <x v="11"/>
    <n v="0"/>
    <x v="0"/>
    <x v="11"/>
  </r>
  <r>
    <x v="869"/>
    <x v="4"/>
    <x v="12"/>
    <x v="0"/>
    <x v="110"/>
    <x v="2"/>
    <x v="3"/>
    <x v="194"/>
    <d v="2024-07-27T00:00:00"/>
    <n v="0"/>
    <x v="0"/>
    <x v="8"/>
    <n v="0"/>
    <x v="0"/>
    <x v="8"/>
  </r>
  <r>
    <x v="870"/>
    <x v="2"/>
    <x v="14"/>
    <x v="3"/>
    <x v="111"/>
    <x v="1"/>
    <x v="4"/>
    <x v="195"/>
    <d v="2024-07-22T00:00:00"/>
    <n v="0"/>
    <x v="0"/>
    <x v="8"/>
    <n v="0"/>
    <x v="0"/>
    <x v="8"/>
  </r>
  <r>
    <x v="871"/>
    <x v="1"/>
    <x v="11"/>
    <x v="3"/>
    <x v="112"/>
    <x v="1"/>
    <x v="4"/>
    <x v="196"/>
    <d v="2024-09-28T00:00:00"/>
    <n v="1"/>
    <x v="1"/>
    <x v="11"/>
    <n v="1"/>
    <x v="1"/>
    <x v="11"/>
  </r>
  <r>
    <x v="872"/>
    <x v="3"/>
    <x v="3"/>
    <x v="3"/>
    <x v="113"/>
    <x v="0"/>
    <x v="1"/>
    <x v="197"/>
    <d v="2024-09-14T00:00:00"/>
    <n v="0"/>
    <x v="0"/>
    <x v="11"/>
    <n v="0"/>
    <x v="0"/>
    <x v="11"/>
  </r>
  <r>
    <x v="873"/>
    <x v="0"/>
    <x v="7"/>
    <x v="4"/>
    <x v="114"/>
    <x v="0"/>
    <x v="4"/>
    <x v="198"/>
    <d v="2024-10-11T00:00:00"/>
    <n v="0"/>
    <x v="0"/>
    <x v="9"/>
    <n v="0"/>
    <x v="0"/>
    <x v="9"/>
  </r>
  <r>
    <x v="874"/>
    <x v="2"/>
    <x v="2"/>
    <x v="4"/>
    <x v="115"/>
    <x v="1"/>
    <x v="1"/>
    <x v="199"/>
    <d v="2024-11-20T00:00:00"/>
    <n v="0"/>
    <x v="0"/>
    <x v="10"/>
    <n v="0"/>
    <x v="0"/>
    <x v="10"/>
  </r>
  <r>
    <x v="875"/>
    <x v="2"/>
    <x v="14"/>
    <x v="5"/>
    <x v="116"/>
    <x v="2"/>
    <x v="5"/>
    <x v="134"/>
    <d v="2024-07-05T00:00:00"/>
    <n v="0"/>
    <x v="0"/>
    <x v="8"/>
    <n v="0"/>
    <x v="0"/>
    <x v="8"/>
  </r>
  <r>
    <x v="876"/>
    <x v="1"/>
    <x v="10"/>
    <x v="7"/>
    <x v="117"/>
    <x v="2"/>
    <x v="5"/>
    <x v="175"/>
    <d v="2024-10-04T00:00:00"/>
    <n v="0"/>
    <x v="0"/>
    <x v="9"/>
    <n v="0"/>
    <x v="0"/>
    <x v="9"/>
  </r>
  <r>
    <x v="877"/>
    <x v="4"/>
    <x v="13"/>
    <x v="5"/>
    <x v="118"/>
    <x v="1"/>
    <x v="0"/>
    <x v="172"/>
    <d v="2024-10-24T00:00:00"/>
    <n v="0"/>
    <x v="0"/>
    <x v="9"/>
    <n v="0"/>
    <x v="0"/>
    <x v="9"/>
  </r>
  <r>
    <x v="878"/>
    <x v="1"/>
    <x v="1"/>
    <x v="4"/>
    <x v="119"/>
    <x v="0"/>
    <x v="5"/>
    <x v="125"/>
    <d v="2024-08-16T00:00:00"/>
    <n v="0"/>
    <x v="0"/>
    <x v="6"/>
    <n v="0"/>
    <x v="0"/>
    <x v="6"/>
  </r>
  <r>
    <x v="879"/>
    <x v="0"/>
    <x v="0"/>
    <x v="1"/>
    <x v="120"/>
    <x v="1"/>
    <x v="1"/>
    <x v="200"/>
    <d v="2024-10-21T00:00:00"/>
    <n v="0"/>
    <x v="0"/>
    <x v="9"/>
    <n v="0"/>
    <x v="0"/>
    <x v="9"/>
  </r>
  <r>
    <x v="880"/>
    <x v="1"/>
    <x v="10"/>
    <x v="1"/>
    <x v="121"/>
    <x v="1"/>
    <x v="3"/>
    <x v="201"/>
    <d v="2024-12-07T00:00:00"/>
    <n v="0"/>
    <x v="0"/>
    <x v="7"/>
    <n v="0"/>
    <x v="0"/>
    <x v="7"/>
  </r>
  <r>
    <x v="881"/>
    <x v="3"/>
    <x v="3"/>
    <x v="5"/>
    <x v="122"/>
    <x v="2"/>
    <x v="5"/>
    <x v="202"/>
    <d v="2024-07-08T00:00:00"/>
    <n v="0"/>
    <x v="0"/>
    <x v="8"/>
    <n v="0"/>
    <x v="0"/>
    <x v="8"/>
  </r>
  <r>
    <x v="882"/>
    <x v="3"/>
    <x v="6"/>
    <x v="7"/>
    <x v="123"/>
    <x v="0"/>
    <x v="5"/>
    <x v="199"/>
    <d v="2024-11-20T00:00:00"/>
    <n v="0"/>
    <x v="0"/>
    <x v="10"/>
    <n v="0"/>
    <x v="0"/>
    <x v="10"/>
  </r>
  <r>
    <x v="883"/>
    <x v="2"/>
    <x v="2"/>
    <x v="6"/>
    <x v="124"/>
    <x v="1"/>
    <x v="0"/>
    <x v="136"/>
    <d v="2024-10-23T00:00:00"/>
    <n v="0"/>
    <x v="0"/>
    <x v="9"/>
    <n v="0"/>
    <x v="0"/>
    <x v="9"/>
  </r>
  <r>
    <x v="884"/>
    <x v="4"/>
    <x v="4"/>
    <x v="0"/>
    <x v="125"/>
    <x v="1"/>
    <x v="3"/>
    <x v="146"/>
    <d v="2024-08-08T00:00:00"/>
    <n v="0"/>
    <x v="0"/>
    <x v="6"/>
    <n v="0"/>
    <x v="0"/>
    <x v="6"/>
  </r>
  <r>
    <x v="885"/>
    <x v="2"/>
    <x v="2"/>
    <x v="3"/>
    <x v="126"/>
    <x v="1"/>
    <x v="4"/>
    <x v="151"/>
    <d v="2024-11-02T00:00:00"/>
    <n v="0"/>
    <x v="0"/>
    <x v="10"/>
    <n v="0"/>
    <x v="0"/>
    <x v="10"/>
  </r>
  <r>
    <x v="886"/>
    <x v="0"/>
    <x v="7"/>
    <x v="6"/>
    <x v="127"/>
    <x v="2"/>
    <x v="3"/>
    <x v="187"/>
    <d v="2024-10-17T00:00:00"/>
    <n v="0"/>
    <x v="0"/>
    <x v="9"/>
    <n v="0"/>
    <x v="0"/>
    <x v="9"/>
  </r>
  <r>
    <x v="887"/>
    <x v="2"/>
    <x v="5"/>
    <x v="4"/>
    <x v="128"/>
    <x v="0"/>
    <x v="0"/>
    <x v="124"/>
    <d v="2024-07-13T00:00:00"/>
    <n v="0"/>
    <x v="0"/>
    <x v="8"/>
    <n v="0"/>
    <x v="0"/>
    <x v="8"/>
  </r>
  <r>
    <x v="888"/>
    <x v="1"/>
    <x v="1"/>
    <x v="3"/>
    <x v="129"/>
    <x v="0"/>
    <x v="2"/>
    <x v="203"/>
    <d v="2024-07-14T00:00:00"/>
    <n v="0"/>
    <x v="0"/>
    <x v="8"/>
    <n v="0"/>
    <x v="0"/>
    <x v="8"/>
  </r>
  <r>
    <x v="889"/>
    <x v="0"/>
    <x v="7"/>
    <x v="3"/>
    <x v="130"/>
    <x v="0"/>
    <x v="5"/>
    <x v="204"/>
    <d v="2024-08-15T00:00:00"/>
    <n v="0"/>
    <x v="0"/>
    <x v="6"/>
    <n v="0"/>
    <x v="0"/>
    <x v="6"/>
  </r>
  <r>
    <x v="890"/>
    <x v="2"/>
    <x v="14"/>
    <x v="0"/>
    <x v="131"/>
    <x v="1"/>
    <x v="2"/>
    <x v="205"/>
    <d v="2024-07-11T00:00:00"/>
    <n v="0"/>
    <x v="0"/>
    <x v="8"/>
    <n v="0"/>
    <x v="0"/>
    <x v="8"/>
  </r>
  <r>
    <x v="891"/>
    <x v="3"/>
    <x v="9"/>
    <x v="3"/>
    <x v="132"/>
    <x v="2"/>
    <x v="5"/>
    <x v="206"/>
    <d v="2024-09-30T00:00:00"/>
    <n v="0"/>
    <x v="0"/>
    <x v="11"/>
    <n v="0"/>
    <x v="0"/>
    <x v="11"/>
  </r>
  <r>
    <x v="892"/>
    <x v="0"/>
    <x v="0"/>
    <x v="7"/>
    <x v="133"/>
    <x v="0"/>
    <x v="4"/>
    <x v="207"/>
    <d v="2024-07-15T00:00:00"/>
    <n v="0"/>
    <x v="0"/>
    <x v="8"/>
    <n v="0"/>
    <x v="0"/>
    <x v="8"/>
  </r>
  <r>
    <x v="893"/>
    <x v="0"/>
    <x v="8"/>
    <x v="3"/>
    <x v="134"/>
    <x v="0"/>
    <x v="3"/>
    <x v="175"/>
    <d v="2024-10-04T00:00:00"/>
    <n v="0"/>
    <x v="0"/>
    <x v="9"/>
    <n v="0"/>
    <x v="0"/>
    <x v="9"/>
  </r>
  <r>
    <x v="894"/>
    <x v="0"/>
    <x v="0"/>
    <x v="2"/>
    <x v="135"/>
    <x v="1"/>
    <x v="0"/>
    <x v="208"/>
    <d v="2024-08-11T00:00:00"/>
    <n v="0"/>
    <x v="0"/>
    <x v="6"/>
    <n v="0"/>
    <x v="0"/>
    <x v="6"/>
  </r>
  <r>
    <x v="895"/>
    <x v="1"/>
    <x v="11"/>
    <x v="3"/>
    <x v="136"/>
    <x v="1"/>
    <x v="5"/>
    <x v="209"/>
    <d v="2024-09-02T00:00:00"/>
    <n v="0"/>
    <x v="0"/>
    <x v="11"/>
    <n v="0"/>
    <x v="0"/>
    <x v="11"/>
  </r>
  <r>
    <x v="896"/>
    <x v="4"/>
    <x v="13"/>
    <x v="3"/>
    <x v="137"/>
    <x v="1"/>
    <x v="5"/>
    <x v="235"/>
    <d v="2024-12-24T00:00:00"/>
    <n v="0"/>
    <x v="0"/>
    <x v="7"/>
    <n v="0"/>
    <x v="0"/>
    <x v="7"/>
  </r>
  <r>
    <x v="897"/>
    <x v="0"/>
    <x v="8"/>
    <x v="3"/>
    <x v="138"/>
    <x v="2"/>
    <x v="3"/>
    <x v="169"/>
    <d v="2024-09-01T00:00:00"/>
    <n v="0"/>
    <x v="0"/>
    <x v="11"/>
    <n v="0"/>
    <x v="0"/>
    <x v="11"/>
  </r>
  <r>
    <x v="898"/>
    <x v="1"/>
    <x v="10"/>
    <x v="7"/>
    <x v="139"/>
    <x v="0"/>
    <x v="5"/>
    <x v="182"/>
    <d v="2024-08-17T00:00:00"/>
    <n v="0"/>
    <x v="0"/>
    <x v="6"/>
    <n v="0"/>
    <x v="0"/>
    <x v="6"/>
  </r>
  <r>
    <x v="899"/>
    <x v="0"/>
    <x v="0"/>
    <x v="3"/>
    <x v="140"/>
    <x v="2"/>
    <x v="4"/>
    <x v="124"/>
    <d v="2024-07-13T00:00:00"/>
    <n v="0"/>
    <x v="0"/>
    <x v="8"/>
    <n v="0"/>
    <x v="0"/>
    <x v="8"/>
  </r>
  <r>
    <x v="900"/>
    <x v="1"/>
    <x v="1"/>
    <x v="0"/>
    <x v="141"/>
    <x v="1"/>
    <x v="2"/>
    <x v="196"/>
    <d v="2024-09-27T00:00:00"/>
    <n v="0"/>
    <x v="0"/>
    <x v="11"/>
    <n v="0"/>
    <x v="0"/>
    <x v="11"/>
  </r>
  <r>
    <x v="901"/>
    <x v="3"/>
    <x v="3"/>
    <x v="7"/>
    <x v="142"/>
    <x v="1"/>
    <x v="5"/>
    <x v="178"/>
    <d v="2024-09-09T00:00:00"/>
    <n v="0"/>
    <x v="0"/>
    <x v="11"/>
    <n v="0"/>
    <x v="0"/>
    <x v="11"/>
  </r>
  <r>
    <x v="902"/>
    <x v="1"/>
    <x v="10"/>
    <x v="0"/>
    <x v="143"/>
    <x v="2"/>
    <x v="1"/>
    <x v="136"/>
    <d v="2024-10-23T00:00:00"/>
    <n v="0"/>
    <x v="0"/>
    <x v="9"/>
    <n v="0"/>
    <x v="0"/>
    <x v="9"/>
  </r>
  <r>
    <x v="903"/>
    <x v="2"/>
    <x v="14"/>
    <x v="5"/>
    <x v="144"/>
    <x v="0"/>
    <x v="0"/>
    <x v="198"/>
    <d v="2024-10-11T00:00:00"/>
    <n v="0"/>
    <x v="0"/>
    <x v="9"/>
    <n v="0"/>
    <x v="0"/>
    <x v="9"/>
  </r>
  <r>
    <x v="904"/>
    <x v="1"/>
    <x v="10"/>
    <x v="5"/>
    <x v="197"/>
    <x v="1"/>
    <x v="4"/>
    <x v="124"/>
    <d v="2024-07-13T00:00:00"/>
    <n v="0"/>
    <x v="0"/>
    <x v="8"/>
    <n v="0"/>
    <x v="0"/>
    <x v="8"/>
  </r>
  <r>
    <x v="905"/>
    <x v="1"/>
    <x v="10"/>
    <x v="6"/>
    <x v="145"/>
    <x v="2"/>
    <x v="2"/>
    <x v="211"/>
    <d v="2024-09-24T00:00:00"/>
    <n v="0"/>
    <x v="0"/>
    <x v="11"/>
    <n v="0"/>
    <x v="0"/>
    <x v="11"/>
  </r>
  <r>
    <x v="906"/>
    <x v="0"/>
    <x v="8"/>
    <x v="7"/>
    <x v="146"/>
    <x v="0"/>
    <x v="5"/>
    <x v="144"/>
    <d v="2024-07-24T00:00:00"/>
    <n v="0"/>
    <x v="0"/>
    <x v="8"/>
    <n v="0"/>
    <x v="0"/>
    <x v="8"/>
  </r>
  <r>
    <x v="907"/>
    <x v="3"/>
    <x v="9"/>
    <x v="2"/>
    <x v="147"/>
    <x v="2"/>
    <x v="1"/>
    <x v="187"/>
    <d v="2024-10-17T00:00:00"/>
    <n v="0"/>
    <x v="0"/>
    <x v="9"/>
    <n v="0"/>
    <x v="0"/>
    <x v="9"/>
  </r>
  <r>
    <x v="908"/>
    <x v="3"/>
    <x v="9"/>
    <x v="3"/>
    <x v="148"/>
    <x v="2"/>
    <x v="5"/>
    <x v="212"/>
    <d v="2024-11-13T00:00:00"/>
    <n v="0"/>
    <x v="0"/>
    <x v="10"/>
    <n v="0"/>
    <x v="0"/>
    <x v="10"/>
  </r>
  <r>
    <x v="909"/>
    <x v="4"/>
    <x v="4"/>
    <x v="5"/>
    <x v="149"/>
    <x v="1"/>
    <x v="4"/>
    <x v="136"/>
    <d v="2024-10-23T00:00:00"/>
    <n v="0"/>
    <x v="0"/>
    <x v="9"/>
    <n v="0"/>
    <x v="0"/>
    <x v="9"/>
  </r>
  <r>
    <x v="910"/>
    <x v="0"/>
    <x v="0"/>
    <x v="0"/>
    <x v="150"/>
    <x v="2"/>
    <x v="5"/>
    <x v="208"/>
    <d v="2024-08-11T00:00:00"/>
    <n v="0"/>
    <x v="0"/>
    <x v="6"/>
    <n v="0"/>
    <x v="0"/>
    <x v="6"/>
  </r>
  <r>
    <x v="911"/>
    <x v="3"/>
    <x v="3"/>
    <x v="7"/>
    <x v="151"/>
    <x v="0"/>
    <x v="0"/>
    <x v="213"/>
    <d v="2024-09-28T00:00:00"/>
    <n v="0"/>
    <x v="0"/>
    <x v="11"/>
    <n v="0"/>
    <x v="0"/>
    <x v="11"/>
  </r>
  <r>
    <x v="912"/>
    <x v="1"/>
    <x v="10"/>
    <x v="5"/>
    <x v="152"/>
    <x v="0"/>
    <x v="3"/>
    <x v="214"/>
    <d v="2024-12-04T00:00:00"/>
    <n v="0"/>
    <x v="0"/>
    <x v="7"/>
    <n v="0"/>
    <x v="0"/>
    <x v="7"/>
  </r>
  <r>
    <x v="913"/>
    <x v="4"/>
    <x v="13"/>
    <x v="3"/>
    <x v="153"/>
    <x v="1"/>
    <x v="5"/>
    <x v="215"/>
    <d v="2024-09-16T00:00:00"/>
    <n v="0"/>
    <x v="0"/>
    <x v="11"/>
    <n v="0"/>
    <x v="0"/>
    <x v="11"/>
  </r>
  <r>
    <x v="914"/>
    <x v="3"/>
    <x v="6"/>
    <x v="3"/>
    <x v="154"/>
    <x v="1"/>
    <x v="2"/>
    <x v="216"/>
    <d v="2024-11-05T00:00:00"/>
    <n v="0"/>
    <x v="0"/>
    <x v="10"/>
    <n v="0"/>
    <x v="0"/>
    <x v="10"/>
  </r>
  <r>
    <x v="915"/>
    <x v="4"/>
    <x v="13"/>
    <x v="0"/>
    <x v="155"/>
    <x v="2"/>
    <x v="1"/>
    <x v="129"/>
    <d v="2024-10-02T00:00:00"/>
    <n v="0"/>
    <x v="0"/>
    <x v="9"/>
    <n v="0"/>
    <x v="0"/>
    <x v="9"/>
  </r>
  <r>
    <x v="916"/>
    <x v="3"/>
    <x v="3"/>
    <x v="1"/>
    <x v="156"/>
    <x v="2"/>
    <x v="3"/>
    <x v="217"/>
    <d v="2024-07-20T00:00:00"/>
    <n v="0"/>
    <x v="0"/>
    <x v="8"/>
    <n v="0"/>
    <x v="0"/>
    <x v="8"/>
  </r>
  <r>
    <x v="917"/>
    <x v="0"/>
    <x v="8"/>
    <x v="0"/>
    <x v="157"/>
    <x v="1"/>
    <x v="1"/>
    <x v="218"/>
    <d v="2024-12-03T00:00:00"/>
    <n v="0"/>
    <x v="0"/>
    <x v="7"/>
    <n v="0"/>
    <x v="0"/>
    <x v="7"/>
  </r>
  <r>
    <x v="918"/>
    <x v="0"/>
    <x v="8"/>
    <x v="5"/>
    <x v="158"/>
    <x v="0"/>
    <x v="0"/>
    <x v="219"/>
    <d v="2024-09-19T00:00:00"/>
    <n v="0"/>
    <x v="0"/>
    <x v="11"/>
    <n v="0"/>
    <x v="0"/>
    <x v="11"/>
  </r>
  <r>
    <x v="919"/>
    <x v="0"/>
    <x v="7"/>
    <x v="3"/>
    <x v="159"/>
    <x v="0"/>
    <x v="5"/>
    <x v="141"/>
    <d v="2024-09-26T00:00:00"/>
    <n v="0"/>
    <x v="0"/>
    <x v="11"/>
    <n v="0"/>
    <x v="0"/>
    <x v="11"/>
  </r>
  <r>
    <x v="920"/>
    <x v="2"/>
    <x v="5"/>
    <x v="2"/>
    <x v="160"/>
    <x v="0"/>
    <x v="0"/>
    <x v="220"/>
    <d v="2024-09-11T00:00:00"/>
    <n v="0"/>
    <x v="0"/>
    <x v="11"/>
    <n v="0"/>
    <x v="0"/>
    <x v="11"/>
  </r>
  <r>
    <x v="921"/>
    <x v="1"/>
    <x v="1"/>
    <x v="0"/>
    <x v="161"/>
    <x v="2"/>
    <x v="3"/>
    <x v="130"/>
    <d v="2024-11-25T00:00:00"/>
    <n v="0"/>
    <x v="0"/>
    <x v="10"/>
    <n v="0"/>
    <x v="0"/>
    <x v="10"/>
  </r>
  <r>
    <x v="922"/>
    <x v="2"/>
    <x v="5"/>
    <x v="0"/>
    <x v="162"/>
    <x v="2"/>
    <x v="0"/>
    <x v="134"/>
    <d v="2024-07-05T00:00:00"/>
    <n v="0"/>
    <x v="0"/>
    <x v="8"/>
    <n v="0"/>
    <x v="0"/>
    <x v="8"/>
  </r>
  <r>
    <x v="923"/>
    <x v="4"/>
    <x v="13"/>
    <x v="3"/>
    <x v="163"/>
    <x v="2"/>
    <x v="2"/>
    <x v="124"/>
    <d v="2024-07-13T00:00:00"/>
    <n v="0"/>
    <x v="0"/>
    <x v="8"/>
    <n v="0"/>
    <x v="0"/>
    <x v="8"/>
  </r>
  <r>
    <x v="924"/>
    <x v="1"/>
    <x v="11"/>
    <x v="4"/>
    <x v="164"/>
    <x v="2"/>
    <x v="5"/>
    <x v="200"/>
    <d v="2024-10-21T00:00:00"/>
    <n v="0"/>
    <x v="0"/>
    <x v="9"/>
    <n v="0"/>
    <x v="0"/>
    <x v="9"/>
  </r>
  <r>
    <x v="925"/>
    <x v="3"/>
    <x v="3"/>
    <x v="3"/>
    <x v="165"/>
    <x v="1"/>
    <x v="2"/>
    <x v="187"/>
    <d v="2024-10-17T00:00:00"/>
    <n v="0"/>
    <x v="0"/>
    <x v="9"/>
    <n v="0"/>
    <x v="0"/>
    <x v="9"/>
  </r>
  <r>
    <x v="926"/>
    <x v="2"/>
    <x v="5"/>
    <x v="3"/>
    <x v="166"/>
    <x v="0"/>
    <x v="5"/>
    <x v="206"/>
    <d v="2024-09-30T00:00:00"/>
    <n v="0"/>
    <x v="0"/>
    <x v="11"/>
    <n v="0"/>
    <x v="0"/>
    <x v="11"/>
  </r>
  <r>
    <x v="927"/>
    <x v="1"/>
    <x v="1"/>
    <x v="2"/>
    <x v="167"/>
    <x v="0"/>
    <x v="1"/>
    <x v="221"/>
    <d v="2024-08-21T00:00:00"/>
    <n v="0"/>
    <x v="0"/>
    <x v="6"/>
    <n v="0"/>
    <x v="0"/>
    <x v="6"/>
  </r>
  <r>
    <x v="928"/>
    <x v="1"/>
    <x v="1"/>
    <x v="0"/>
    <x v="168"/>
    <x v="1"/>
    <x v="1"/>
    <x v="222"/>
    <d v="2024-08-24T00:00:00"/>
    <n v="0"/>
    <x v="0"/>
    <x v="6"/>
    <n v="0"/>
    <x v="0"/>
    <x v="6"/>
  </r>
  <r>
    <x v="929"/>
    <x v="3"/>
    <x v="3"/>
    <x v="2"/>
    <x v="169"/>
    <x v="0"/>
    <x v="2"/>
    <x v="223"/>
    <d v="2024-07-16T00:00:00"/>
    <n v="0"/>
    <x v="0"/>
    <x v="8"/>
    <n v="0"/>
    <x v="0"/>
    <x v="8"/>
  </r>
  <r>
    <x v="930"/>
    <x v="0"/>
    <x v="7"/>
    <x v="3"/>
    <x v="170"/>
    <x v="2"/>
    <x v="1"/>
    <x v="203"/>
    <d v="2024-07-14T00:00:00"/>
    <n v="0"/>
    <x v="0"/>
    <x v="8"/>
    <n v="0"/>
    <x v="0"/>
    <x v="8"/>
  </r>
  <r>
    <x v="931"/>
    <x v="4"/>
    <x v="12"/>
    <x v="7"/>
    <x v="171"/>
    <x v="1"/>
    <x v="2"/>
    <x v="236"/>
    <d v="2024-12-28T00:00:00"/>
    <n v="0"/>
    <x v="0"/>
    <x v="7"/>
    <n v="0"/>
    <x v="0"/>
    <x v="7"/>
  </r>
  <r>
    <x v="932"/>
    <x v="4"/>
    <x v="4"/>
    <x v="4"/>
    <x v="172"/>
    <x v="1"/>
    <x v="1"/>
    <x v="131"/>
    <d v="2024-12-08T00:00:00"/>
    <n v="0"/>
    <x v="0"/>
    <x v="7"/>
    <n v="0"/>
    <x v="0"/>
    <x v="7"/>
  </r>
  <r>
    <x v="933"/>
    <x v="0"/>
    <x v="0"/>
    <x v="1"/>
    <x v="173"/>
    <x v="0"/>
    <x v="2"/>
    <x v="226"/>
    <d v="2024-11-30T00:00:00"/>
    <n v="0"/>
    <x v="0"/>
    <x v="10"/>
    <n v="0"/>
    <x v="0"/>
    <x v="10"/>
  </r>
  <r>
    <x v="934"/>
    <x v="1"/>
    <x v="10"/>
    <x v="4"/>
    <x v="174"/>
    <x v="2"/>
    <x v="4"/>
    <x v="206"/>
    <d v="2024-09-30T00:00:00"/>
    <n v="0"/>
    <x v="0"/>
    <x v="11"/>
    <n v="0"/>
    <x v="0"/>
    <x v="11"/>
  </r>
  <r>
    <x v="935"/>
    <x v="0"/>
    <x v="8"/>
    <x v="3"/>
    <x v="175"/>
    <x v="1"/>
    <x v="4"/>
    <x v="156"/>
    <d v="2024-11-22T00:00:00"/>
    <n v="0"/>
    <x v="0"/>
    <x v="10"/>
    <n v="0"/>
    <x v="0"/>
    <x v="10"/>
  </r>
  <r>
    <x v="936"/>
    <x v="4"/>
    <x v="13"/>
    <x v="7"/>
    <x v="176"/>
    <x v="2"/>
    <x v="4"/>
    <x v="227"/>
    <d v="2024-08-07T00:00:00"/>
    <n v="1"/>
    <x v="1"/>
    <x v="6"/>
    <n v="1"/>
    <x v="1"/>
    <x v="6"/>
  </r>
  <r>
    <x v="937"/>
    <x v="1"/>
    <x v="11"/>
    <x v="3"/>
    <x v="177"/>
    <x v="1"/>
    <x v="0"/>
    <x v="228"/>
    <d v="2024-08-03T00:00:00"/>
    <n v="0"/>
    <x v="0"/>
    <x v="6"/>
    <n v="0"/>
    <x v="0"/>
    <x v="6"/>
  </r>
  <r>
    <x v="938"/>
    <x v="2"/>
    <x v="2"/>
    <x v="3"/>
    <x v="178"/>
    <x v="2"/>
    <x v="0"/>
    <x v="229"/>
    <d v="2024-10-20T00:00:00"/>
    <n v="0"/>
    <x v="0"/>
    <x v="9"/>
    <n v="0"/>
    <x v="0"/>
    <x v="9"/>
  </r>
  <r>
    <x v="939"/>
    <x v="2"/>
    <x v="2"/>
    <x v="1"/>
    <x v="179"/>
    <x v="2"/>
    <x v="1"/>
    <x v="165"/>
    <d v="2024-11-19T00:00:00"/>
    <n v="0"/>
    <x v="0"/>
    <x v="10"/>
    <n v="0"/>
    <x v="0"/>
    <x v="10"/>
  </r>
  <r>
    <x v="940"/>
    <x v="2"/>
    <x v="5"/>
    <x v="5"/>
    <x v="180"/>
    <x v="1"/>
    <x v="4"/>
    <x v="179"/>
    <d v="2024-08-14T00:00:00"/>
    <n v="0"/>
    <x v="0"/>
    <x v="6"/>
    <n v="0"/>
    <x v="0"/>
    <x v="6"/>
  </r>
  <r>
    <x v="941"/>
    <x v="4"/>
    <x v="4"/>
    <x v="3"/>
    <x v="181"/>
    <x v="2"/>
    <x v="0"/>
    <x v="163"/>
    <d v="2024-07-01T00:00:00"/>
    <n v="0"/>
    <x v="0"/>
    <x v="8"/>
    <n v="0"/>
    <x v="0"/>
    <x v="8"/>
  </r>
  <r>
    <x v="942"/>
    <x v="2"/>
    <x v="14"/>
    <x v="6"/>
    <x v="182"/>
    <x v="0"/>
    <x v="0"/>
    <x v="121"/>
    <d v="2024-12-02T00:00:00"/>
    <n v="0"/>
    <x v="0"/>
    <x v="7"/>
    <n v="0"/>
    <x v="0"/>
    <x v="7"/>
  </r>
  <r>
    <x v="943"/>
    <x v="3"/>
    <x v="6"/>
    <x v="4"/>
    <x v="183"/>
    <x v="2"/>
    <x v="2"/>
    <x v="230"/>
    <d v="2024-08-18T00:00:00"/>
    <n v="0"/>
    <x v="0"/>
    <x v="6"/>
    <n v="0"/>
    <x v="0"/>
    <x v="6"/>
  </r>
  <r>
    <x v="944"/>
    <x v="3"/>
    <x v="3"/>
    <x v="3"/>
    <x v="184"/>
    <x v="2"/>
    <x v="3"/>
    <x v="221"/>
    <d v="2024-08-21T00:00:00"/>
    <n v="0"/>
    <x v="0"/>
    <x v="6"/>
    <n v="0"/>
    <x v="0"/>
    <x v="6"/>
  </r>
  <r>
    <x v="945"/>
    <x v="0"/>
    <x v="7"/>
    <x v="0"/>
    <x v="185"/>
    <x v="0"/>
    <x v="2"/>
    <x v="231"/>
    <d v="2024-09-29T00:00:00"/>
    <n v="0"/>
    <x v="0"/>
    <x v="11"/>
    <n v="0"/>
    <x v="0"/>
    <x v="11"/>
  </r>
  <r>
    <x v="946"/>
    <x v="1"/>
    <x v="1"/>
    <x v="1"/>
    <x v="186"/>
    <x v="1"/>
    <x v="0"/>
    <x v="206"/>
    <d v="2024-09-30T00:00:00"/>
    <n v="0"/>
    <x v="0"/>
    <x v="11"/>
    <n v="0"/>
    <x v="0"/>
    <x v="11"/>
  </r>
  <r>
    <x v="947"/>
    <x v="3"/>
    <x v="6"/>
    <x v="1"/>
    <x v="187"/>
    <x v="2"/>
    <x v="5"/>
    <x v="201"/>
    <d v="2024-12-07T00:00:00"/>
    <n v="0"/>
    <x v="0"/>
    <x v="7"/>
    <n v="0"/>
    <x v="0"/>
    <x v="7"/>
  </r>
  <r>
    <x v="948"/>
    <x v="0"/>
    <x v="0"/>
    <x v="3"/>
    <x v="188"/>
    <x v="1"/>
    <x v="1"/>
    <x v="227"/>
    <d v="2024-08-06T00:00:00"/>
    <n v="0"/>
    <x v="0"/>
    <x v="6"/>
    <n v="0"/>
    <x v="0"/>
    <x v="6"/>
  </r>
  <r>
    <x v="949"/>
    <x v="2"/>
    <x v="5"/>
    <x v="4"/>
    <x v="189"/>
    <x v="2"/>
    <x v="2"/>
    <x v="201"/>
    <d v="2024-12-07T00:00:00"/>
    <n v="0"/>
    <x v="0"/>
    <x v="7"/>
    <n v="0"/>
    <x v="0"/>
    <x v="7"/>
  </r>
  <r>
    <x v="950"/>
    <x v="2"/>
    <x v="2"/>
    <x v="3"/>
    <x v="190"/>
    <x v="1"/>
    <x v="4"/>
    <x v="163"/>
    <d v="2024-07-01T00:00:00"/>
    <n v="0"/>
    <x v="0"/>
    <x v="8"/>
    <n v="0"/>
    <x v="0"/>
    <x v="8"/>
  </r>
  <r>
    <x v="951"/>
    <x v="3"/>
    <x v="9"/>
    <x v="0"/>
    <x v="191"/>
    <x v="1"/>
    <x v="4"/>
    <x v="232"/>
    <d v="2024-09-03T00:00:00"/>
    <n v="0"/>
    <x v="0"/>
    <x v="11"/>
    <n v="0"/>
    <x v="0"/>
    <x v="11"/>
  </r>
  <r>
    <x v="952"/>
    <x v="2"/>
    <x v="2"/>
    <x v="3"/>
    <x v="192"/>
    <x v="0"/>
    <x v="3"/>
    <x v="233"/>
    <d v="2024-07-19T00:00:00"/>
    <n v="0"/>
    <x v="0"/>
    <x v="8"/>
    <n v="0"/>
    <x v="0"/>
    <x v="8"/>
  </r>
  <r>
    <x v="953"/>
    <x v="1"/>
    <x v="10"/>
    <x v="6"/>
    <x v="193"/>
    <x v="1"/>
    <x v="1"/>
    <x v="147"/>
    <d v="2024-10-25T00:00:00"/>
    <n v="0"/>
    <x v="0"/>
    <x v="9"/>
    <n v="0"/>
    <x v="0"/>
    <x v="9"/>
  </r>
  <r>
    <x v="954"/>
    <x v="1"/>
    <x v="1"/>
    <x v="4"/>
    <x v="194"/>
    <x v="1"/>
    <x v="3"/>
    <x v="121"/>
    <d v="2024-12-02T00:00:00"/>
    <n v="0"/>
    <x v="0"/>
    <x v="7"/>
    <n v="0"/>
    <x v="0"/>
    <x v="7"/>
  </r>
  <r>
    <x v="955"/>
    <x v="1"/>
    <x v="10"/>
    <x v="1"/>
    <x v="195"/>
    <x v="1"/>
    <x v="0"/>
    <x v="191"/>
    <d v="2024-11-03T00:00:00"/>
    <n v="0"/>
    <x v="0"/>
    <x v="10"/>
    <n v="0"/>
    <x v="0"/>
    <x v="10"/>
  </r>
  <r>
    <x v="956"/>
    <x v="4"/>
    <x v="4"/>
    <x v="3"/>
    <x v="196"/>
    <x v="1"/>
    <x v="0"/>
    <x v="237"/>
    <d v="2024-12-16T00:00:00"/>
    <n v="0"/>
    <x v="0"/>
    <x v="7"/>
    <n v="0"/>
    <x v="0"/>
    <x v="7"/>
  </r>
  <r>
    <x v="957"/>
    <x v="0"/>
    <x v="8"/>
    <x v="3"/>
    <x v="85"/>
    <x v="1"/>
    <x v="0"/>
    <x v="183"/>
    <d v="2024-11-26T00:00:00"/>
    <n v="0"/>
    <x v="0"/>
    <x v="10"/>
    <n v="0"/>
    <x v="0"/>
    <x v="10"/>
  </r>
  <r>
    <x v="958"/>
    <x v="2"/>
    <x v="14"/>
    <x v="3"/>
    <x v="86"/>
    <x v="1"/>
    <x v="1"/>
    <x v="181"/>
    <d v="2024-10-27T00:00:00"/>
    <n v="0"/>
    <x v="0"/>
    <x v="9"/>
    <n v="0"/>
    <x v="0"/>
    <x v="9"/>
  </r>
  <r>
    <x v="959"/>
    <x v="3"/>
    <x v="9"/>
    <x v="7"/>
    <x v="87"/>
    <x v="2"/>
    <x v="4"/>
    <x v="170"/>
    <d v="2024-11-09T00:00:00"/>
    <n v="0"/>
    <x v="0"/>
    <x v="10"/>
    <n v="0"/>
    <x v="0"/>
    <x v="10"/>
  </r>
  <r>
    <x v="960"/>
    <x v="0"/>
    <x v="0"/>
    <x v="6"/>
    <x v="88"/>
    <x v="1"/>
    <x v="3"/>
    <x v="149"/>
    <d v="2024-09-07T00:00:00"/>
    <n v="0"/>
    <x v="0"/>
    <x v="11"/>
    <n v="0"/>
    <x v="0"/>
    <x v="11"/>
  </r>
  <r>
    <x v="961"/>
    <x v="0"/>
    <x v="8"/>
    <x v="6"/>
    <x v="89"/>
    <x v="0"/>
    <x v="3"/>
    <x v="184"/>
    <d v="2024-10-19T00:00:00"/>
    <n v="0"/>
    <x v="0"/>
    <x v="9"/>
    <n v="0"/>
    <x v="0"/>
    <x v="9"/>
  </r>
  <r>
    <x v="962"/>
    <x v="4"/>
    <x v="4"/>
    <x v="7"/>
    <x v="90"/>
    <x v="1"/>
    <x v="5"/>
    <x v="185"/>
    <d v="2024-07-29T00:00:00"/>
    <n v="0"/>
    <x v="0"/>
    <x v="8"/>
    <n v="0"/>
    <x v="0"/>
    <x v="8"/>
  </r>
  <r>
    <x v="963"/>
    <x v="0"/>
    <x v="0"/>
    <x v="3"/>
    <x v="91"/>
    <x v="1"/>
    <x v="4"/>
    <x v="186"/>
    <d v="2024-09-16T00:00:00"/>
    <n v="1"/>
    <x v="1"/>
    <x v="11"/>
    <n v="1"/>
    <x v="1"/>
    <x v="11"/>
  </r>
  <r>
    <x v="964"/>
    <x v="2"/>
    <x v="14"/>
    <x v="3"/>
    <x v="92"/>
    <x v="2"/>
    <x v="5"/>
    <x v="160"/>
    <d v="2024-09-21T00:00:00"/>
    <n v="0"/>
    <x v="0"/>
    <x v="11"/>
    <n v="0"/>
    <x v="0"/>
    <x v="11"/>
  </r>
  <r>
    <x v="965"/>
    <x v="1"/>
    <x v="1"/>
    <x v="6"/>
    <x v="93"/>
    <x v="2"/>
    <x v="1"/>
    <x v="151"/>
    <d v="2024-11-02T00:00:00"/>
    <n v="0"/>
    <x v="0"/>
    <x v="10"/>
    <n v="0"/>
    <x v="0"/>
    <x v="10"/>
  </r>
  <r>
    <x v="966"/>
    <x v="3"/>
    <x v="6"/>
    <x v="5"/>
    <x v="94"/>
    <x v="1"/>
    <x v="2"/>
    <x v="139"/>
    <d v="2024-07-10T00:00:00"/>
    <n v="0"/>
    <x v="0"/>
    <x v="8"/>
    <n v="0"/>
    <x v="0"/>
    <x v="8"/>
  </r>
  <r>
    <x v="967"/>
    <x v="0"/>
    <x v="0"/>
    <x v="1"/>
    <x v="95"/>
    <x v="0"/>
    <x v="0"/>
    <x v="187"/>
    <d v="2024-10-17T00:00:00"/>
    <n v="0"/>
    <x v="0"/>
    <x v="9"/>
    <n v="0"/>
    <x v="0"/>
    <x v="9"/>
  </r>
  <r>
    <x v="968"/>
    <x v="1"/>
    <x v="1"/>
    <x v="4"/>
    <x v="96"/>
    <x v="1"/>
    <x v="4"/>
    <x v="188"/>
    <d v="2024-09-23T00:00:00"/>
    <n v="1"/>
    <x v="1"/>
    <x v="11"/>
    <n v="1"/>
    <x v="1"/>
    <x v="11"/>
  </r>
  <r>
    <x v="969"/>
    <x v="2"/>
    <x v="2"/>
    <x v="6"/>
    <x v="97"/>
    <x v="2"/>
    <x v="0"/>
    <x v="180"/>
    <d v="2024-09-05T00:00:00"/>
    <n v="0"/>
    <x v="0"/>
    <x v="11"/>
    <n v="0"/>
    <x v="0"/>
    <x v="11"/>
  </r>
  <r>
    <x v="970"/>
    <x v="1"/>
    <x v="11"/>
    <x v="4"/>
    <x v="98"/>
    <x v="1"/>
    <x v="2"/>
    <x v="157"/>
    <d v="2024-07-30T00:00:00"/>
    <n v="0"/>
    <x v="0"/>
    <x v="8"/>
    <n v="0"/>
    <x v="0"/>
    <x v="8"/>
  </r>
  <r>
    <x v="971"/>
    <x v="4"/>
    <x v="12"/>
    <x v="3"/>
    <x v="99"/>
    <x v="2"/>
    <x v="5"/>
    <x v="189"/>
    <d v="2024-07-12T00:00:00"/>
    <n v="0"/>
    <x v="0"/>
    <x v="8"/>
    <n v="0"/>
    <x v="0"/>
    <x v="8"/>
  </r>
  <r>
    <x v="972"/>
    <x v="4"/>
    <x v="13"/>
    <x v="6"/>
    <x v="100"/>
    <x v="1"/>
    <x v="4"/>
    <x v="238"/>
    <d v="2024-12-21T00:00:00"/>
    <n v="0"/>
    <x v="0"/>
    <x v="7"/>
    <n v="0"/>
    <x v="0"/>
    <x v="7"/>
  </r>
  <r>
    <x v="973"/>
    <x v="2"/>
    <x v="5"/>
    <x v="6"/>
    <x v="101"/>
    <x v="2"/>
    <x v="1"/>
    <x v="191"/>
    <d v="2024-11-03T00:00:00"/>
    <n v="0"/>
    <x v="0"/>
    <x v="10"/>
    <n v="0"/>
    <x v="0"/>
    <x v="10"/>
  </r>
  <r>
    <x v="974"/>
    <x v="4"/>
    <x v="13"/>
    <x v="2"/>
    <x v="102"/>
    <x v="2"/>
    <x v="5"/>
    <x v="133"/>
    <d v="2024-12-09T00:00:00"/>
    <n v="0"/>
    <x v="0"/>
    <x v="7"/>
    <n v="0"/>
    <x v="0"/>
    <x v="7"/>
  </r>
  <r>
    <x v="975"/>
    <x v="4"/>
    <x v="4"/>
    <x v="1"/>
    <x v="103"/>
    <x v="1"/>
    <x v="5"/>
    <x v="234"/>
    <d v="2024-12-18T00:00:00"/>
    <n v="0"/>
    <x v="0"/>
    <x v="7"/>
    <n v="0"/>
    <x v="0"/>
    <x v="7"/>
  </r>
  <r>
    <x v="976"/>
    <x v="2"/>
    <x v="5"/>
    <x v="7"/>
    <x v="104"/>
    <x v="0"/>
    <x v="3"/>
    <x v="192"/>
    <d v="2024-10-30T00:00:00"/>
    <n v="0"/>
    <x v="0"/>
    <x v="9"/>
    <n v="0"/>
    <x v="0"/>
    <x v="9"/>
  </r>
  <r>
    <x v="977"/>
    <x v="4"/>
    <x v="13"/>
    <x v="3"/>
    <x v="105"/>
    <x v="1"/>
    <x v="2"/>
    <x v="193"/>
    <d v="2024-10-09T00:00:00"/>
    <n v="0"/>
    <x v="0"/>
    <x v="9"/>
    <n v="0"/>
    <x v="0"/>
    <x v="9"/>
  </r>
  <r>
    <x v="978"/>
    <x v="3"/>
    <x v="9"/>
    <x v="1"/>
    <x v="106"/>
    <x v="2"/>
    <x v="3"/>
    <x v="174"/>
    <d v="2024-10-26T00:00:00"/>
    <n v="0"/>
    <x v="0"/>
    <x v="9"/>
    <n v="0"/>
    <x v="0"/>
    <x v="9"/>
  </r>
  <r>
    <x v="979"/>
    <x v="2"/>
    <x v="5"/>
    <x v="2"/>
    <x v="107"/>
    <x v="2"/>
    <x v="1"/>
    <x v="180"/>
    <d v="2024-09-05T00:00:00"/>
    <n v="0"/>
    <x v="0"/>
    <x v="11"/>
    <n v="0"/>
    <x v="0"/>
    <x v="11"/>
  </r>
  <r>
    <x v="980"/>
    <x v="2"/>
    <x v="2"/>
    <x v="3"/>
    <x v="108"/>
    <x v="2"/>
    <x v="2"/>
    <x v="145"/>
    <d v="2024-11-18T00:00:00"/>
    <n v="0"/>
    <x v="0"/>
    <x v="10"/>
    <n v="0"/>
    <x v="0"/>
    <x v="10"/>
  </r>
  <r>
    <x v="981"/>
    <x v="0"/>
    <x v="8"/>
    <x v="5"/>
    <x v="109"/>
    <x v="0"/>
    <x v="5"/>
    <x v="178"/>
    <d v="2024-09-09T00:00:00"/>
    <n v="0"/>
    <x v="0"/>
    <x v="11"/>
    <n v="0"/>
    <x v="0"/>
    <x v="11"/>
  </r>
  <r>
    <x v="982"/>
    <x v="4"/>
    <x v="12"/>
    <x v="0"/>
    <x v="110"/>
    <x v="2"/>
    <x v="3"/>
    <x v="194"/>
    <d v="2024-07-27T00:00:00"/>
    <n v="0"/>
    <x v="0"/>
    <x v="8"/>
    <n v="0"/>
    <x v="0"/>
    <x v="8"/>
  </r>
  <r>
    <x v="983"/>
    <x v="2"/>
    <x v="14"/>
    <x v="3"/>
    <x v="111"/>
    <x v="1"/>
    <x v="4"/>
    <x v="195"/>
    <d v="2024-07-22T00:00:00"/>
    <n v="0"/>
    <x v="0"/>
    <x v="8"/>
    <n v="0"/>
    <x v="0"/>
    <x v="8"/>
  </r>
  <r>
    <x v="984"/>
    <x v="1"/>
    <x v="11"/>
    <x v="2"/>
    <x v="112"/>
    <x v="1"/>
    <x v="4"/>
    <x v="196"/>
    <d v="2024-09-27T00:00:00"/>
    <n v="0"/>
    <x v="0"/>
    <x v="11"/>
    <n v="0"/>
    <x v="0"/>
    <x v="11"/>
  </r>
  <r>
    <x v="985"/>
    <x v="3"/>
    <x v="3"/>
    <x v="3"/>
    <x v="113"/>
    <x v="0"/>
    <x v="1"/>
    <x v="197"/>
    <d v="2024-09-14T00:00:00"/>
    <n v="0"/>
    <x v="0"/>
    <x v="11"/>
    <n v="0"/>
    <x v="0"/>
    <x v="11"/>
  </r>
  <r>
    <x v="986"/>
    <x v="0"/>
    <x v="7"/>
    <x v="4"/>
    <x v="114"/>
    <x v="0"/>
    <x v="4"/>
    <x v="198"/>
    <d v="2024-10-11T00:00:00"/>
    <n v="0"/>
    <x v="0"/>
    <x v="9"/>
    <n v="0"/>
    <x v="0"/>
    <x v="9"/>
  </r>
  <r>
    <x v="987"/>
    <x v="2"/>
    <x v="2"/>
    <x v="4"/>
    <x v="115"/>
    <x v="1"/>
    <x v="1"/>
    <x v="199"/>
    <d v="2024-11-20T00:00:00"/>
    <n v="0"/>
    <x v="0"/>
    <x v="10"/>
    <n v="0"/>
    <x v="0"/>
    <x v="10"/>
  </r>
  <r>
    <x v="988"/>
    <x v="2"/>
    <x v="14"/>
    <x v="5"/>
    <x v="116"/>
    <x v="2"/>
    <x v="5"/>
    <x v="134"/>
    <d v="2024-07-05T00:00:00"/>
    <n v="0"/>
    <x v="0"/>
    <x v="8"/>
    <n v="0"/>
    <x v="0"/>
    <x v="8"/>
  </r>
  <r>
    <x v="989"/>
    <x v="1"/>
    <x v="10"/>
    <x v="7"/>
    <x v="117"/>
    <x v="2"/>
    <x v="5"/>
    <x v="175"/>
    <d v="2024-10-04T00:00:00"/>
    <n v="0"/>
    <x v="0"/>
    <x v="9"/>
    <n v="0"/>
    <x v="0"/>
    <x v="9"/>
  </r>
  <r>
    <x v="990"/>
    <x v="4"/>
    <x v="13"/>
    <x v="5"/>
    <x v="118"/>
    <x v="1"/>
    <x v="0"/>
    <x v="172"/>
    <d v="2024-10-24T00:00:00"/>
    <n v="0"/>
    <x v="0"/>
    <x v="9"/>
    <n v="0"/>
    <x v="0"/>
    <x v="9"/>
  </r>
  <r>
    <x v="991"/>
    <x v="1"/>
    <x v="1"/>
    <x v="2"/>
    <x v="119"/>
    <x v="0"/>
    <x v="5"/>
    <x v="125"/>
    <d v="2024-08-16T00:00:00"/>
    <n v="0"/>
    <x v="0"/>
    <x v="6"/>
    <n v="0"/>
    <x v="0"/>
    <x v="6"/>
  </r>
  <r>
    <x v="992"/>
    <x v="0"/>
    <x v="0"/>
    <x v="1"/>
    <x v="120"/>
    <x v="1"/>
    <x v="1"/>
    <x v="200"/>
    <d v="2024-10-21T00:00:00"/>
    <n v="0"/>
    <x v="0"/>
    <x v="9"/>
    <n v="0"/>
    <x v="0"/>
    <x v="9"/>
  </r>
  <r>
    <x v="993"/>
    <x v="1"/>
    <x v="10"/>
    <x v="1"/>
    <x v="121"/>
    <x v="1"/>
    <x v="3"/>
    <x v="201"/>
    <d v="2024-12-07T00:00:00"/>
    <n v="0"/>
    <x v="0"/>
    <x v="7"/>
    <n v="0"/>
    <x v="0"/>
    <x v="7"/>
  </r>
  <r>
    <x v="994"/>
    <x v="3"/>
    <x v="3"/>
    <x v="5"/>
    <x v="122"/>
    <x v="2"/>
    <x v="5"/>
    <x v="202"/>
    <d v="2024-07-08T00:00:00"/>
    <n v="0"/>
    <x v="0"/>
    <x v="8"/>
    <n v="0"/>
    <x v="0"/>
    <x v="8"/>
  </r>
  <r>
    <x v="995"/>
    <x v="1"/>
    <x v="10"/>
    <x v="0"/>
    <x v="198"/>
    <x v="2"/>
    <x v="4"/>
    <x v="203"/>
    <d v="2024-07-14T00:00:00"/>
    <n v="0"/>
    <x v="0"/>
    <x v="8"/>
    <n v="0"/>
    <x v="0"/>
    <x v="8"/>
  </r>
  <r>
    <x v="996"/>
    <x v="3"/>
    <x v="6"/>
    <x v="7"/>
    <x v="123"/>
    <x v="0"/>
    <x v="5"/>
    <x v="199"/>
    <d v="2024-11-20T00:00:00"/>
    <n v="0"/>
    <x v="0"/>
    <x v="10"/>
    <n v="0"/>
    <x v="0"/>
    <x v="10"/>
  </r>
  <r>
    <x v="997"/>
    <x v="2"/>
    <x v="2"/>
    <x v="6"/>
    <x v="124"/>
    <x v="1"/>
    <x v="0"/>
    <x v="136"/>
    <d v="2024-10-23T00:00:00"/>
    <n v="0"/>
    <x v="0"/>
    <x v="9"/>
    <n v="0"/>
    <x v="0"/>
    <x v="9"/>
  </r>
  <r>
    <x v="998"/>
    <x v="4"/>
    <x v="4"/>
    <x v="0"/>
    <x v="125"/>
    <x v="1"/>
    <x v="3"/>
    <x v="146"/>
    <d v="2024-08-08T00:00:00"/>
    <n v="0"/>
    <x v="0"/>
    <x v="6"/>
    <n v="0"/>
    <x v="0"/>
    <x v="6"/>
  </r>
  <r>
    <x v="999"/>
    <x v="2"/>
    <x v="2"/>
    <x v="3"/>
    <x v="126"/>
    <x v="1"/>
    <x v="4"/>
    <x v="151"/>
    <d v="2024-11-02T00:00:00"/>
    <n v="0"/>
    <x v="0"/>
    <x v="10"/>
    <n v="0"/>
    <x v="0"/>
    <x v="10"/>
  </r>
  <r>
    <x v="1000"/>
    <x v="0"/>
    <x v="7"/>
    <x v="6"/>
    <x v="127"/>
    <x v="2"/>
    <x v="3"/>
    <x v="187"/>
    <d v="2024-10-17T00:00:00"/>
    <n v="0"/>
    <x v="0"/>
    <x v="9"/>
    <n v="0"/>
    <x v="0"/>
    <x v="9"/>
  </r>
  <r>
    <x v="1001"/>
    <x v="2"/>
    <x v="5"/>
    <x v="4"/>
    <x v="128"/>
    <x v="0"/>
    <x v="0"/>
    <x v="124"/>
    <d v="2024-07-13T00:00:00"/>
    <n v="0"/>
    <x v="0"/>
    <x v="8"/>
    <n v="0"/>
    <x v="0"/>
    <x v="8"/>
  </r>
  <r>
    <x v="1002"/>
    <x v="1"/>
    <x v="1"/>
    <x v="3"/>
    <x v="129"/>
    <x v="0"/>
    <x v="2"/>
    <x v="203"/>
    <d v="2024-07-14T00:00:00"/>
    <n v="0"/>
    <x v="0"/>
    <x v="8"/>
    <n v="0"/>
    <x v="0"/>
    <x v="8"/>
  </r>
  <r>
    <x v="1003"/>
    <x v="0"/>
    <x v="7"/>
    <x v="3"/>
    <x v="130"/>
    <x v="0"/>
    <x v="5"/>
    <x v="204"/>
    <d v="2024-08-15T00:00:00"/>
    <n v="0"/>
    <x v="0"/>
    <x v="6"/>
    <n v="0"/>
    <x v="0"/>
    <x v="6"/>
  </r>
  <r>
    <x v="1004"/>
    <x v="2"/>
    <x v="14"/>
    <x v="0"/>
    <x v="131"/>
    <x v="1"/>
    <x v="2"/>
    <x v="205"/>
    <d v="2024-07-11T00:00:00"/>
    <n v="0"/>
    <x v="0"/>
    <x v="8"/>
    <n v="0"/>
    <x v="0"/>
    <x v="8"/>
  </r>
  <r>
    <x v="1005"/>
    <x v="3"/>
    <x v="9"/>
    <x v="3"/>
    <x v="132"/>
    <x v="2"/>
    <x v="5"/>
    <x v="206"/>
    <d v="2024-09-30T00:00:00"/>
    <n v="0"/>
    <x v="0"/>
    <x v="11"/>
    <n v="0"/>
    <x v="0"/>
    <x v="11"/>
  </r>
  <r>
    <x v="1006"/>
    <x v="0"/>
    <x v="0"/>
    <x v="7"/>
    <x v="133"/>
    <x v="0"/>
    <x v="4"/>
    <x v="207"/>
    <d v="2024-07-15T00:00:00"/>
    <n v="0"/>
    <x v="0"/>
    <x v="8"/>
    <n v="0"/>
    <x v="0"/>
    <x v="8"/>
  </r>
  <r>
    <x v="1007"/>
    <x v="0"/>
    <x v="8"/>
    <x v="3"/>
    <x v="134"/>
    <x v="0"/>
    <x v="3"/>
    <x v="175"/>
    <d v="2024-10-04T00:00:00"/>
    <n v="0"/>
    <x v="0"/>
    <x v="9"/>
    <n v="0"/>
    <x v="0"/>
    <x v="9"/>
  </r>
  <r>
    <x v="1008"/>
    <x v="0"/>
    <x v="0"/>
    <x v="2"/>
    <x v="135"/>
    <x v="1"/>
    <x v="0"/>
    <x v="208"/>
    <d v="2024-08-11T00:00:00"/>
    <n v="0"/>
    <x v="0"/>
    <x v="6"/>
    <n v="0"/>
    <x v="0"/>
    <x v="6"/>
  </r>
  <r>
    <x v="1009"/>
    <x v="1"/>
    <x v="11"/>
    <x v="3"/>
    <x v="136"/>
    <x v="1"/>
    <x v="5"/>
    <x v="209"/>
    <d v="2024-09-02T00:00:00"/>
    <n v="0"/>
    <x v="0"/>
    <x v="11"/>
    <n v="0"/>
    <x v="0"/>
    <x v="11"/>
  </r>
  <r>
    <x v="1010"/>
    <x v="4"/>
    <x v="13"/>
    <x v="3"/>
    <x v="137"/>
    <x v="1"/>
    <x v="5"/>
    <x v="235"/>
    <d v="2024-12-24T00:00:00"/>
    <n v="0"/>
    <x v="0"/>
    <x v="7"/>
    <n v="0"/>
    <x v="0"/>
    <x v="7"/>
  </r>
  <r>
    <x v="1011"/>
    <x v="0"/>
    <x v="8"/>
    <x v="3"/>
    <x v="138"/>
    <x v="2"/>
    <x v="3"/>
    <x v="169"/>
    <d v="2024-09-01T00:00:00"/>
    <n v="0"/>
    <x v="0"/>
    <x v="11"/>
    <n v="0"/>
    <x v="0"/>
    <x v="11"/>
  </r>
  <r>
    <x v="1012"/>
    <x v="1"/>
    <x v="10"/>
    <x v="1"/>
    <x v="139"/>
    <x v="0"/>
    <x v="5"/>
    <x v="182"/>
    <d v="2024-08-17T00:00:00"/>
    <n v="0"/>
    <x v="0"/>
    <x v="6"/>
    <n v="0"/>
    <x v="0"/>
    <x v="6"/>
  </r>
  <r>
    <x v="1013"/>
    <x v="0"/>
    <x v="0"/>
    <x v="4"/>
    <x v="140"/>
    <x v="2"/>
    <x v="4"/>
    <x v="124"/>
    <d v="2024-07-13T00:00:00"/>
    <n v="0"/>
    <x v="0"/>
    <x v="8"/>
    <n v="0"/>
    <x v="0"/>
    <x v="8"/>
  </r>
  <r>
    <x v="1014"/>
    <x v="1"/>
    <x v="1"/>
    <x v="0"/>
    <x v="141"/>
    <x v="1"/>
    <x v="2"/>
    <x v="196"/>
    <d v="2024-09-27T00:00:00"/>
    <n v="0"/>
    <x v="0"/>
    <x v="11"/>
    <n v="0"/>
    <x v="0"/>
    <x v="11"/>
  </r>
  <r>
    <x v="1015"/>
    <x v="3"/>
    <x v="3"/>
    <x v="7"/>
    <x v="142"/>
    <x v="1"/>
    <x v="5"/>
    <x v="178"/>
    <d v="2024-09-09T00:00:00"/>
    <n v="0"/>
    <x v="0"/>
    <x v="11"/>
    <n v="0"/>
    <x v="0"/>
    <x v="11"/>
  </r>
  <r>
    <x v="1016"/>
    <x v="1"/>
    <x v="10"/>
    <x v="0"/>
    <x v="143"/>
    <x v="2"/>
    <x v="1"/>
    <x v="136"/>
    <d v="2024-10-23T00:00:00"/>
    <n v="0"/>
    <x v="0"/>
    <x v="9"/>
    <n v="0"/>
    <x v="0"/>
    <x v="9"/>
  </r>
  <r>
    <x v="1017"/>
    <x v="2"/>
    <x v="14"/>
    <x v="5"/>
    <x v="144"/>
    <x v="0"/>
    <x v="0"/>
    <x v="198"/>
    <d v="2024-10-11T00:00:00"/>
    <n v="0"/>
    <x v="0"/>
    <x v="9"/>
    <n v="0"/>
    <x v="0"/>
    <x v="9"/>
  </r>
  <r>
    <x v="1018"/>
    <x v="1"/>
    <x v="10"/>
    <x v="5"/>
    <x v="197"/>
    <x v="1"/>
    <x v="4"/>
    <x v="124"/>
    <d v="2024-07-13T00:00:00"/>
    <n v="0"/>
    <x v="0"/>
    <x v="8"/>
    <n v="0"/>
    <x v="0"/>
    <x v="8"/>
  </r>
  <r>
    <x v="1019"/>
    <x v="1"/>
    <x v="10"/>
    <x v="6"/>
    <x v="145"/>
    <x v="2"/>
    <x v="2"/>
    <x v="211"/>
    <d v="2024-09-24T00:00:00"/>
    <n v="0"/>
    <x v="0"/>
    <x v="11"/>
    <n v="0"/>
    <x v="0"/>
    <x v="11"/>
  </r>
  <r>
    <x v="1020"/>
    <x v="0"/>
    <x v="8"/>
    <x v="1"/>
    <x v="146"/>
    <x v="0"/>
    <x v="5"/>
    <x v="144"/>
    <d v="2024-07-24T00:00:00"/>
    <n v="0"/>
    <x v="0"/>
    <x v="8"/>
    <n v="0"/>
    <x v="0"/>
    <x v="8"/>
  </r>
  <r>
    <x v="1021"/>
    <x v="3"/>
    <x v="9"/>
    <x v="2"/>
    <x v="147"/>
    <x v="2"/>
    <x v="1"/>
    <x v="187"/>
    <d v="2024-10-17T00:00:00"/>
    <n v="0"/>
    <x v="0"/>
    <x v="9"/>
    <n v="0"/>
    <x v="0"/>
    <x v="9"/>
  </r>
  <r>
    <x v="1022"/>
    <x v="3"/>
    <x v="9"/>
    <x v="3"/>
    <x v="148"/>
    <x v="2"/>
    <x v="5"/>
    <x v="212"/>
    <d v="2024-11-13T00:00:00"/>
    <n v="0"/>
    <x v="0"/>
    <x v="10"/>
    <n v="0"/>
    <x v="0"/>
    <x v="10"/>
  </r>
  <r>
    <x v="1023"/>
    <x v="4"/>
    <x v="4"/>
    <x v="5"/>
    <x v="149"/>
    <x v="1"/>
    <x v="4"/>
    <x v="136"/>
    <d v="2024-10-23T00:00:00"/>
    <n v="0"/>
    <x v="0"/>
    <x v="9"/>
    <n v="0"/>
    <x v="0"/>
    <x v="9"/>
  </r>
  <r>
    <x v="1024"/>
    <x v="0"/>
    <x v="0"/>
    <x v="0"/>
    <x v="150"/>
    <x v="2"/>
    <x v="5"/>
    <x v="208"/>
    <d v="2024-08-11T00:00:00"/>
    <n v="0"/>
    <x v="0"/>
    <x v="6"/>
    <n v="0"/>
    <x v="0"/>
    <x v="6"/>
  </r>
  <r>
    <x v="1025"/>
    <x v="3"/>
    <x v="3"/>
    <x v="7"/>
    <x v="151"/>
    <x v="0"/>
    <x v="0"/>
    <x v="213"/>
    <d v="2024-09-28T00:00:00"/>
    <n v="0"/>
    <x v="0"/>
    <x v="11"/>
    <n v="0"/>
    <x v="0"/>
    <x v="11"/>
  </r>
  <r>
    <x v="1026"/>
    <x v="1"/>
    <x v="10"/>
    <x v="5"/>
    <x v="152"/>
    <x v="0"/>
    <x v="3"/>
    <x v="214"/>
    <d v="2024-12-04T00:00:00"/>
    <n v="0"/>
    <x v="0"/>
    <x v="7"/>
    <n v="0"/>
    <x v="0"/>
    <x v="7"/>
  </r>
  <r>
    <x v="1027"/>
    <x v="2"/>
    <x v="2"/>
    <x v="2"/>
    <x v="2"/>
    <x v="1"/>
    <x v="2"/>
    <x v="122"/>
    <d v="2024-08-09T00:00:00"/>
    <n v="0"/>
    <x v="0"/>
    <x v="6"/>
    <n v="0"/>
    <x v="0"/>
    <x v="6"/>
  </r>
  <r>
    <x v="1028"/>
    <x v="2"/>
    <x v="5"/>
    <x v="0"/>
    <x v="6"/>
    <x v="2"/>
    <x v="4"/>
    <x v="126"/>
    <d v="2024-07-23T00:00:00"/>
    <n v="0"/>
    <x v="0"/>
    <x v="8"/>
    <n v="0"/>
    <x v="0"/>
    <x v="8"/>
  </r>
  <r>
    <x v="1029"/>
    <x v="2"/>
    <x v="5"/>
    <x v="2"/>
    <x v="7"/>
    <x v="0"/>
    <x v="2"/>
    <x v="127"/>
    <d v="2024-10-18T00:00:00"/>
    <n v="0"/>
    <x v="0"/>
    <x v="9"/>
    <n v="0"/>
    <x v="0"/>
    <x v="9"/>
  </r>
  <r>
    <x v="1030"/>
    <x v="2"/>
    <x v="5"/>
    <x v="3"/>
    <x v="20"/>
    <x v="2"/>
    <x v="0"/>
    <x v="138"/>
    <d v="2024-08-07T00:00:00"/>
    <n v="0"/>
    <x v="0"/>
    <x v="6"/>
    <n v="0"/>
    <x v="0"/>
    <x v="6"/>
  </r>
  <r>
    <x v="1031"/>
    <x v="2"/>
    <x v="5"/>
    <x v="3"/>
    <x v="30"/>
    <x v="2"/>
    <x v="0"/>
    <x v="145"/>
    <d v="2024-11-18T00:00:00"/>
    <n v="0"/>
    <x v="0"/>
    <x v="10"/>
    <n v="0"/>
    <x v="0"/>
    <x v="10"/>
  </r>
  <r>
    <x v="1032"/>
    <x v="2"/>
    <x v="2"/>
    <x v="2"/>
    <x v="44"/>
    <x v="2"/>
    <x v="3"/>
    <x v="157"/>
    <d v="2024-07-30T00:00:00"/>
    <n v="0"/>
    <x v="0"/>
    <x v="8"/>
    <n v="0"/>
    <x v="0"/>
    <x v="8"/>
  </r>
  <r>
    <x v="1033"/>
    <x v="2"/>
    <x v="2"/>
    <x v="5"/>
    <x v="45"/>
    <x v="2"/>
    <x v="1"/>
    <x v="158"/>
    <d v="2024-11-06T00:00:00"/>
    <n v="0"/>
    <x v="0"/>
    <x v="10"/>
    <n v="0"/>
    <x v="0"/>
    <x v="10"/>
  </r>
  <r>
    <x v="1034"/>
    <x v="2"/>
    <x v="14"/>
    <x v="1"/>
    <x v="52"/>
    <x v="0"/>
    <x v="3"/>
    <x v="164"/>
    <d v="2024-11-11T00:00:00"/>
    <n v="0"/>
    <x v="0"/>
    <x v="10"/>
    <n v="0"/>
    <x v="0"/>
    <x v="10"/>
  </r>
  <r>
    <x v="1035"/>
    <x v="2"/>
    <x v="5"/>
    <x v="3"/>
    <x v="61"/>
    <x v="2"/>
    <x v="2"/>
    <x v="145"/>
    <d v="2024-11-18T00:00:00"/>
    <n v="0"/>
    <x v="0"/>
    <x v="10"/>
    <n v="0"/>
    <x v="0"/>
    <x v="10"/>
  </r>
  <r>
    <x v="1036"/>
    <x v="2"/>
    <x v="5"/>
    <x v="3"/>
    <x v="64"/>
    <x v="2"/>
    <x v="0"/>
    <x v="170"/>
    <d v="2024-11-09T00:00:00"/>
    <n v="0"/>
    <x v="0"/>
    <x v="10"/>
    <n v="0"/>
    <x v="0"/>
    <x v="10"/>
  </r>
  <r>
    <x v="1037"/>
    <x v="2"/>
    <x v="14"/>
    <x v="2"/>
    <x v="65"/>
    <x v="2"/>
    <x v="0"/>
    <x v="171"/>
    <d v="2024-07-18T00:00:00"/>
    <n v="0"/>
    <x v="0"/>
    <x v="8"/>
    <n v="0"/>
    <x v="0"/>
    <x v="8"/>
  </r>
  <r>
    <x v="1038"/>
    <x v="2"/>
    <x v="2"/>
    <x v="1"/>
    <x v="67"/>
    <x v="1"/>
    <x v="1"/>
    <x v="172"/>
    <d v="2024-10-24T00:00:00"/>
    <n v="0"/>
    <x v="0"/>
    <x v="9"/>
    <n v="0"/>
    <x v="0"/>
    <x v="9"/>
  </r>
  <r>
    <x v="1039"/>
    <x v="2"/>
    <x v="14"/>
    <x v="0"/>
    <x v="69"/>
    <x v="0"/>
    <x v="3"/>
    <x v="174"/>
    <d v="2024-10-26T00:00:00"/>
    <n v="0"/>
    <x v="0"/>
    <x v="9"/>
    <n v="0"/>
    <x v="0"/>
    <x v="9"/>
  </r>
  <r>
    <x v="1040"/>
    <x v="2"/>
    <x v="14"/>
    <x v="1"/>
    <x v="71"/>
    <x v="0"/>
    <x v="2"/>
    <x v="154"/>
    <d v="2024-10-15T00:00:00"/>
    <n v="0"/>
    <x v="0"/>
    <x v="9"/>
    <n v="0"/>
    <x v="0"/>
    <x v="9"/>
  </r>
  <r>
    <x v="1041"/>
    <x v="2"/>
    <x v="2"/>
    <x v="6"/>
    <x v="78"/>
    <x v="0"/>
    <x v="2"/>
    <x v="168"/>
    <d v="2024-11-04T00:00:00"/>
    <n v="0"/>
    <x v="0"/>
    <x v="10"/>
    <n v="0"/>
    <x v="0"/>
    <x v="10"/>
  </r>
  <r>
    <x v="1042"/>
    <x v="2"/>
    <x v="14"/>
    <x v="4"/>
    <x v="80"/>
    <x v="0"/>
    <x v="3"/>
    <x v="180"/>
    <d v="2024-09-05T00:00:00"/>
    <n v="0"/>
    <x v="0"/>
    <x v="11"/>
    <n v="0"/>
    <x v="0"/>
    <x v="11"/>
  </r>
  <r>
    <x v="1043"/>
    <x v="2"/>
    <x v="5"/>
    <x v="4"/>
    <x v="84"/>
    <x v="0"/>
    <x v="2"/>
    <x v="141"/>
    <d v="2024-09-26T00:00:00"/>
    <n v="0"/>
    <x v="0"/>
    <x v="11"/>
    <n v="0"/>
    <x v="0"/>
    <x v="11"/>
  </r>
  <r>
    <x v="1044"/>
    <x v="2"/>
    <x v="14"/>
    <x v="3"/>
    <x v="86"/>
    <x v="1"/>
    <x v="1"/>
    <x v="181"/>
    <d v="2024-10-27T00:00:00"/>
    <n v="0"/>
    <x v="0"/>
    <x v="9"/>
    <n v="0"/>
    <x v="0"/>
    <x v="9"/>
  </r>
  <r>
    <x v="1045"/>
    <x v="2"/>
    <x v="14"/>
    <x v="3"/>
    <x v="92"/>
    <x v="2"/>
    <x v="5"/>
    <x v="160"/>
    <d v="2024-09-21T00:00:00"/>
    <n v="0"/>
    <x v="0"/>
    <x v="11"/>
    <n v="0"/>
    <x v="0"/>
    <x v="11"/>
  </r>
  <r>
    <x v="1046"/>
    <x v="2"/>
    <x v="2"/>
    <x v="6"/>
    <x v="97"/>
    <x v="2"/>
    <x v="0"/>
    <x v="180"/>
    <d v="2024-09-06T00:00:00"/>
    <n v="1"/>
    <x v="1"/>
    <x v="11"/>
    <n v="1"/>
    <x v="1"/>
    <x v="11"/>
  </r>
  <r>
    <x v="1047"/>
    <x v="2"/>
    <x v="5"/>
    <x v="6"/>
    <x v="101"/>
    <x v="2"/>
    <x v="1"/>
    <x v="191"/>
    <d v="2024-11-03T00:00:00"/>
    <n v="0"/>
    <x v="0"/>
    <x v="10"/>
    <n v="0"/>
    <x v="0"/>
    <x v="10"/>
  </r>
  <r>
    <x v="1048"/>
    <x v="2"/>
    <x v="5"/>
    <x v="7"/>
    <x v="104"/>
    <x v="0"/>
    <x v="3"/>
    <x v="192"/>
    <d v="2024-10-30T00:00:00"/>
    <n v="0"/>
    <x v="0"/>
    <x v="9"/>
    <n v="0"/>
    <x v="0"/>
    <x v="9"/>
  </r>
  <r>
    <x v="1049"/>
    <x v="2"/>
    <x v="5"/>
    <x v="3"/>
    <x v="107"/>
    <x v="2"/>
    <x v="1"/>
    <x v="180"/>
    <d v="2024-09-06T00:00:00"/>
    <n v="1"/>
    <x v="1"/>
    <x v="11"/>
    <n v="1"/>
    <x v="1"/>
    <x v="11"/>
  </r>
  <r>
    <x v="1050"/>
    <x v="2"/>
    <x v="2"/>
    <x v="3"/>
    <x v="108"/>
    <x v="2"/>
    <x v="2"/>
    <x v="145"/>
    <d v="2024-11-18T00:00:00"/>
    <n v="0"/>
    <x v="0"/>
    <x v="10"/>
    <n v="0"/>
    <x v="0"/>
    <x v="10"/>
  </r>
  <r>
    <x v="1051"/>
    <x v="2"/>
    <x v="14"/>
    <x v="3"/>
    <x v="111"/>
    <x v="1"/>
    <x v="4"/>
    <x v="195"/>
    <d v="2024-07-22T00:00:00"/>
    <n v="0"/>
    <x v="0"/>
    <x v="8"/>
    <n v="0"/>
    <x v="0"/>
    <x v="8"/>
  </r>
  <r>
    <x v="1052"/>
    <x v="2"/>
    <x v="2"/>
    <x v="4"/>
    <x v="115"/>
    <x v="1"/>
    <x v="1"/>
    <x v="199"/>
    <d v="2024-11-20T00:00:00"/>
    <n v="0"/>
    <x v="0"/>
    <x v="10"/>
    <n v="0"/>
    <x v="0"/>
    <x v="10"/>
  </r>
  <r>
    <x v="1053"/>
    <x v="2"/>
    <x v="14"/>
    <x v="5"/>
    <x v="116"/>
    <x v="2"/>
    <x v="5"/>
    <x v="134"/>
    <d v="2024-07-05T00:00:00"/>
    <n v="0"/>
    <x v="0"/>
    <x v="8"/>
    <n v="0"/>
    <x v="0"/>
    <x v="8"/>
  </r>
  <r>
    <x v="1054"/>
    <x v="2"/>
    <x v="2"/>
    <x v="6"/>
    <x v="124"/>
    <x v="1"/>
    <x v="0"/>
    <x v="136"/>
    <d v="2024-10-23T00:00:00"/>
    <n v="0"/>
    <x v="0"/>
    <x v="9"/>
    <n v="0"/>
    <x v="0"/>
    <x v="9"/>
  </r>
  <r>
    <x v="1055"/>
    <x v="2"/>
    <x v="2"/>
    <x v="3"/>
    <x v="126"/>
    <x v="1"/>
    <x v="4"/>
    <x v="151"/>
    <d v="2024-11-02T00:00:00"/>
    <n v="0"/>
    <x v="0"/>
    <x v="10"/>
    <n v="0"/>
    <x v="0"/>
    <x v="10"/>
  </r>
  <r>
    <x v="1056"/>
    <x v="2"/>
    <x v="5"/>
    <x v="4"/>
    <x v="128"/>
    <x v="0"/>
    <x v="0"/>
    <x v="124"/>
    <d v="2024-07-13T00:00:00"/>
    <n v="0"/>
    <x v="0"/>
    <x v="8"/>
    <n v="0"/>
    <x v="0"/>
    <x v="8"/>
  </r>
  <r>
    <x v="1057"/>
    <x v="2"/>
    <x v="14"/>
    <x v="0"/>
    <x v="131"/>
    <x v="1"/>
    <x v="2"/>
    <x v="205"/>
    <d v="2024-07-11T00:00:00"/>
    <n v="0"/>
    <x v="0"/>
    <x v="8"/>
    <n v="0"/>
    <x v="0"/>
    <x v="8"/>
  </r>
  <r>
    <x v="1058"/>
    <x v="2"/>
    <x v="14"/>
    <x v="5"/>
    <x v="144"/>
    <x v="0"/>
    <x v="0"/>
    <x v="198"/>
    <d v="2024-10-11T00:00:00"/>
    <n v="0"/>
    <x v="0"/>
    <x v="9"/>
    <n v="0"/>
    <x v="0"/>
    <x v="9"/>
  </r>
  <r>
    <x v="1059"/>
    <x v="2"/>
    <x v="5"/>
    <x v="2"/>
    <x v="160"/>
    <x v="0"/>
    <x v="0"/>
    <x v="220"/>
    <d v="2024-09-11T00:00:00"/>
    <n v="0"/>
    <x v="0"/>
    <x v="11"/>
    <n v="0"/>
    <x v="0"/>
    <x v="11"/>
  </r>
  <r>
    <x v="1060"/>
    <x v="2"/>
    <x v="5"/>
    <x v="0"/>
    <x v="162"/>
    <x v="2"/>
    <x v="0"/>
    <x v="134"/>
    <d v="2024-07-05T00:00:00"/>
    <n v="0"/>
    <x v="0"/>
    <x v="8"/>
    <n v="0"/>
    <x v="0"/>
    <x v="8"/>
  </r>
  <r>
    <x v="1061"/>
    <x v="2"/>
    <x v="5"/>
    <x v="3"/>
    <x v="166"/>
    <x v="0"/>
    <x v="5"/>
    <x v="206"/>
    <d v="2024-09-30T00:00:00"/>
    <n v="0"/>
    <x v="0"/>
    <x v="11"/>
    <n v="0"/>
    <x v="0"/>
    <x v="11"/>
  </r>
  <r>
    <x v="1062"/>
    <x v="2"/>
    <x v="2"/>
    <x v="3"/>
    <x v="178"/>
    <x v="2"/>
    <x v="0"/>
    <x v="229"/>
    <d v="2024-10-20T00:00:00"/>
    <n v="0"/>
    <x v="0"/>
    <x v="9"/>
    <n v="0"/>
    <x v="0"/>
    <x v="9"/>
  </r>
  <r>
    <x v="1063"/>
    <x v="2"/>
    <x v="2"/>
    <x v="1"/>
    <x v="179"/>
    <x v="2"/>
    <x v="1"/>
    <x v="165"/>
    <d v="2024-11-19T00:00:00"/>
    <n v="0"/>
    <x v="0"/>
    <x v="10"/>
    <n v="0"/>
    <x v="0"/>
    <x v="10"/>
  </r>
  <r>
    <x v="1064"/>
    <x v="2"/>
    <x v="5"/>
    <x v="5"/>
    <x v="180"/>
    <x v="1"/>
    <x v="4"/>
    <x v="179"/>
    <d v="2024-08-14T00:00:00"/>
    <n v="0"/>
    <x v="0"/>
    <x v="6"/>
    <n v="0"/>
    <x v="0"/>
    <x v="6"/>
  </r>
  <r>
    <x v="1065"/>
    <x v="2"/>
    <x v="14"/>
    <x v="6"/>
    <x v="182"/>
    <x v="0"/>
    <x v="0"/>
    <x v="121"/>
    <d v="2024-12-02T00:00:00"/>
    <n v="0"/>
    <x v="0"/>
    <x v="7"/>
    <n v="0"/>
    <x v="0"/>
    <x v="7"/>
  </r>
  <r>
    <x v="1066"/>
    <x v="2"/>
    <x v="5"/>
    <x v="4"/>
    <x v="189"/>
    <x v="2"/>
    <x v="2"/>
    <x v="201"/>
    <d v="2024-12-07T00:00:00"/>
    <n v="0"/>
    <x v="0"/>
    <x v="7"/>
    <n v="0"/>
    <x v="0"/>
    <x v="7"/>
  </r>
  <r>
    <x v="1067"/>
    <x v="2"/>
    <x v="2"/>
    <x v="3"/>
    <x v="190"/>
    <x v="1"/>
    <x v="4"/>
    <x v="163"/>
    <d v="2024-07-01T00:00:00"/>
    <n v="0"/>
    <x v="0"/>
    <x v="8"/>
    <n v="0"/>
    <x v="0"/>
    <x v="8"/>
  </r>
  <r>
    <x v="1068"/>
    <x v="2"/>
    <x v="2"/>
    <x v="3"/>
    <x v="192"/>
    <x v="0"/>
    <x v="3"/>
    <x v="233"/>
    <d v="2024-07-19T00:00:00"/>
    <n v="0"/>
    <x v="0"/>
    <x v="8"/>
    <n v="0"/>
    <x v="0"/>
    <x v="8"/>
  </r>
  <r>
    <x v="1069"/>
    <x v="2"/>
    <x v="2"/>
    <x v="2"/>
    <x v="2"/>
    <x v="1"/>
    <x v="2"/>
    <x v="122"/>
    <d v="2024-08-09T00:00:00"/>
    <n v="0"/>
    <x v="0"/>
    <x v="6"/>
    <n v="0"/>
    <x v="0"/>
    <x v="6"/>
  </r>
  <r>
    <x v="1070"/>
    <x v="2"/>
    <x v="5"/>
    <x v="0"/>
    <x v="6"/>
    <x v="2"/>
    <x v="4"/>
    <x v="126"/>
    <d v="2024-07-23T00:00:00"/>
    <n v="0"/>
    <x v="0"/>
    <x v="8"/>
    <n v="0"/>
    <x v="0"/>
    <x v="8"/>
  </r>
  <r>
    <x v="1071"/>
    <x v="2"/>
    <x v="5"/>
    <x v="2"/>
    <x v="7"/>
    <x v="0"/>
    <x v="2"/>
    <x v="127"/>
    <d v="2024-10-18T00:00:00"/>
    <n v="0"/>
    <x v="0"/>
    <x v="9"/>
    <n v="0"/>
    <x v="0"/>
    <x v="9"/>
  </r>
  <r>
    <x v="1072"/>
    <x v="2"/>
    <x v="5"/>
    <x v="3"/>
    <x v="20"/>
    <x v="2"/>
    <x v="0"/>
    <x v="138"/>
    <d v="2024-08-07T00:00:00"/>
    <n v="0"/>
    <x v="0"/>
    <x v="6"/>
    <n v="0"/>
    <x v="0"/>
    <x v="6"/>
  </r>
  <r>
    <x v="1073"/>
    <x v="2"/>
    <x v="5"/>
    <x v="3"/>
    <x v="30"/>
    <x v="2"/>
    <x v="0"/>
    <x v="145"/>
    <d v="2024-11-18T00:00:00"/>
    <n v="0"/>
    <x v="0"/>
    <x v="10"/>
    <n v="0"/>
    <x v="0"/>
    <x v="10"/>
  </r>
  <r>
    <x v="1074"/>
    <x v="2"/>
    <x v="2"/>
    <x v="3"/>
    <x v="44"/>
    <x v="2"/>
    <x v="3"/>
    <x v="157"/>
    <d v="2024-07-30T00:00:00"/>
    <n v="0"/>
    <x v="0"/>
    <x v="8"/>
    <n v="0"/>
    <x v="0"/>
    <x v="8"/>
  </r>
  <r>
    <x v="1075"/>
    <x v="2"/>
    <x v="2"/>
    <x v="5"/>
    <x v="45"/>
    <x v="2"/>
    <x v="1"/>
    <x v="158"/>
    <d v="2024-11-06T00:00:00"/>
    <n v="0"/>
    <x v="0"/>
    <x v="10"/>
    <n v="0"/>
    <x v="0"/>
    <x v="10"/>
  </r>
  <r>
    <x v="1076"/>
    <x v="2"/>
    <x v="14"/>
    <x v="1"/>
    <x v="52"/>
    <x v="0"/>
    <x v="3"/>
    <x v="164"/>
    <d v="2024-11-11T00:00:00"/>
    <n v="0"/>
    <x v="0"/>
    <x v="10"/>
    <n v="0"/>
    <x v="0"/>
    <x v="10"/>
  </r>
  <r>
    <x v="1077"/>
    <x v="2"/>
    <x v="5"/>
    <x v="3"/>
    <x v="61"/>
    <x v="2"/>
    <x v="2"/>
    <x v="145"/>
    <d v="2024-11-18T00:00:00"/>
    <n v="0"/>
    <x v="0"/>
    <x v="10"/>
    <n v="0"/>
    <x v="0"/>
    <x v="10"/>
  </r>
  <r>
    <x v="1078"/>
    <x v="2"/>
    <x v="5"/>
    <x v="3"/>
    <x v="64"/>
    <x v="2"/>
    <x v="0"/>
    <x v="170"/>
    <d v="2024-11-09T00:00:00"/>
    <n v="0"/>
    <x v="0"/>
    <x v="10"/>
    <n v="0"/>
    <x v="0"/>
    <x v="10"/>
  </r>
  <r>
    <x v="1079"/>
    <x v="2"/>
    <x v="14"/>
    <x v="2"/>
    <x v="65"/>
    <x v="2"/>
    <x v="0"/>
    <x v="171"/>
    <d v="2024-07-18T00:00:00"/>
    <n v="0"/>
    <x v="0"/>
    <x v="8"/>
    <n v="0"/>
    <x v="0"/>
    <x v="8"/>
  </r>
  <r>
    <x v="1080"/>
    <x v="2"/>
    <x v="2"/>
    <x v="1"/>
    <x v="67"/>
    <x v="1"/>
    <x v="1"/>
    <x v="172"/>
    <d v="2024-10-24T00:00:00"/>
    <n v="0"/>
    <x v="0"/>
    <x v="9"/>
    <n v="0"/>
    <x v="0"/>
    <x v="9"/>
  </r>
  <r>
    <x v="1081"/>
    <x v="2"/>
    <x v="14"/>
    <x v="0"/>
    <x v="69"/>
    <x v="0"/>
    <x v="3"/>
    <x v="174"/>
    <d v="2024-10-26T00:00:00"/>
    <n v="0"/>
    <x v="0"/>
    <x v="9"/>
    <n v="0"/>
    <x v="0"/>
    <x v="9"/>
  </r>
  <r>
    <x v="1082"/>
    <x v="2"/>
    <x v="14"/>
    <x v="1"/>
    <x v="71"/>
    <x v="0"/>
    <x v="2"/>
    <x v="154"/>
    <d v="2024-10-15T00:00:00"/>
    <n v="0"/>
    <x v="0"/>
    <x v="9"/>
    <n v="0"/>
    <x v="0"/>
    <x v="9"/>
  </r>
  <r>
    <x v="1083"/>
    <x v="2"/>
    <x v="2"/>
    <x v="6"/>
    <x v="78"/>
    <x v="0"/>
    <x v="2"/>
    <x v="168"/>
    <d v="2024-11-04T00:00:00"/>
    <n v="0"/>
    <x v="0"/>
    <x v="10"/>
    <n v="0"/>
    <x v="0"/>
    <x v="10"/>
  </r>
  <r>
    <x v="1084"/>
    <x v="2"/>
    <x v="14"/>
    <x v="4"/>
    <x v="80"/>
    <x v="0"/>
    <x v="3"/>
    <x v="180"/>
    <d v="2024-09-05T00:00:00"/>
    <n v="0"/>
    <x v="0"/>
    <x v="11"/>
    <n v="0"/>
    <x v="0"/>
    <x v="11"/>
  </r>
  <r>
    <x v="1085"/>
    <x v="2"/>
    <x v="5"/>
    <x v="4"/>
    <x v="84"/>
    <x v="0"/>
    <x v="2"/>
    <x v="141"/>
    <d v="2024-09-26T00:00:00"/>
    <n v="0"/>
    <x v="0"/>
    <x v="11"/>
    <n v="0"/>
    <x v="0"/>
    <x v="11"/>
  </r>
  <r>
    <x v="1086"/>
    <x v="2"/>
    <x v="14"/>
    <x v="3"/>
    <x v="86"/>
    <x v="1"/>
    <x v="1"/>
    <x v="181"/>
    <d v="2024-10-27T00:00:00"/>
    <n v="0"/>
    <x v="0"/>
    <x v="9"/>
    <n v="0"/>
    <x v="0"/>
    <x v="9"/>
  </r>
  <r>
    <x v="1087"/>
    <x v="2"/>
    <x v="14"/>
    <x v="3"/>
    <x v="92"/>
    <x v="2"/>
    <x v="5"/>
    <x v="160"/>
    <d v="2024-09-21T00:00:00"/>
    <n v="0"/>
    <x v="0"/>
    <x v="11"/>
    <n v="0"/>
    <x v="0"/>
    <x v="11"/>
  </r>
  <r>
    <x v="1088"/>
    <x v="2"/>
    <x v="2"/>
    <x v="6"/>
    <x v="97"/>
    <x v="2"/>
    <x v="0"/>
    <x v="180"/>
    <d v="2024-09-05T00:00:00"/>
    <n v="0"/>
    <x v="0"/>
    <x v="11"/>
    <n v="0"/>
    <x v="0"/>
    <x v="11"/>
  </r>
  <r>
    <x v="1089"/>
    <x v="2"/>
    <x v="5"/>
    <x v="6"/>
    <x v="101"/>
    <x v="2"/>
    <x v="1"/>
    <x v="191"/>
    <d v="2024-11-03T00:00:00"/>
    <n v="0"/>
    <x v="0"/>
    <x v="10"/>
    <n v="0"/>
    <x v="0"/>
    <x v="10"/>
  </r>
  <r>
    <x v="1090"/>
    <x v="2"/>
    <x v="5"/>
    <x v="7"/>
    <x v="104"/>
    <x v="0"/>
    <x v="3"/>
    <x v="192"/>
    <d v="2024-10-30T00:00:00"/>
    <n v="0"/>
    <x v="0"/>
    <x v="9"/>
    <n v="0"/>
    <x v="0"/>
    <x v="9"/>
  </r>
  <r>
    <x v="1091"/>
    <x v="2"/>
    <x v="5"/>
    <x v="3"/>
    <x v="107"/>
    <x v="2"/>
    <x v="1"/>
    <x v="180"/>
    <d v="2024-09-05T00:00:00"/>
    <n v="0"/>
    <x v="0"/>
    <x v="11"/>
    <n v="0"/>
    <x v="0"/>
    <x v="11"/>
  </r>
  <r>
    <x v="1092"/>
    <x v="2"/>
    <x v="2"/>
    <x v="3"/>
    <x v="108"/>
    <x v="2"/>
    <x v="2"/>
    <x v="145"/>
    <d v="2024-11-18T00:00:00"/>
    <n v="0"/>
    <x v="0"/>
    <x v="10"/>
    <n v="0"/>
    <x v="0"/>
    <x v="10"/>
  </r>
  <r>
    <x v="1093"/>
    <x v="2"/>
    <x v="14"/>
    <x v="3"/>
    <x v="111"/>
    <x v="1"/>
    <x v="4"/>
    <x v="195"/>
    <d v="2024-07-22T00:00:00"/>
    <n v="0"/>
    <x v="0"/>
    <x v="8"/>
    <n v="0"/>
    <x v="0"/>
    <x v="8"/>
  </r>
  <r>
    <x v="1094"/>
    <x v="2"/>
    <x v="2"/>
    <x v="4"/>
    <x v="115"/>
    <x v="1"/>
    <x v="1"/>
    <x v="199"/>
    <d v="2024-11-20T00:00:00"/>
    <n v="0"/>
    <x v="0"/>
    <x v="10"/>
    <n v="0"/>
    <x v="0"/>
    <x v="10"/>
  </r>
  <r>
    <x v="1095"/>
    <x v="2"/>
    <x v="14"/>
    <x v="5"/>
    <x v="116"/>
    <x v="2"/>
    <x v="5"/>
    <x v="134"/>
    <d v="2024-07-05T00:00:00"/>
    <n v="0"/>
    <x v="0"/>
    <x v="8"/>
    <n v="0"/>
    <x v="0"/>
    <x v="8"/>
  </r>
  <r>
    <x v="1096"/>
    <x v="2"/>
    <x v="2"/>
    <x v="6"/>
    <x v="124"/>
    <x v="1"/>
    <x v="0"/>
    <x v="136"/>
    <d v="2024-10-23T00:00:00"/>
    <n v="0"/>
    <x v="0"/>
    <x v="9"/>
    <n v="0"/>
    <x v="0"/>
    <x v="9"/>
  </r>
  <r>
    <x v="1097"/>
    <x v="2"/>
    <x v="2"/>
    <x v="3"/>
    <x v="126"/>
    <x v="1"/>
    <x v="4"/>
    <x v="151"/>
    <d v="2024-11-02T00:00:00"/>
    <n v="0"/>
    <x v="0"/>
    <x v="10"/>
    <n v="0"/>
    <x v="0"/>
    <x v="10"/>
  </r>
  <r>
    <x v="1098"/>
    <x v="2"/>
    <x v="5"/>
    <x v="4"/>
    <x v="128"/>
    <x v="0"/>
    <x v="0"/>
    <x v="124"/>
    <d v="2024-07-13T00:00:00"/>
    <n v="0"/>
    <x v="0"/>
    <x v="8"/>
    <n v="0"/>
    <x v="0"/>
    <x v="8"/>
  </r>
  <r>
    <x v="1099"/>
    <x v="2"/>
    <x v="14"/>
    <x v="0"/>
    <x v="131"/>
    <x v="1"/>
    <x v="2"/>
    <x v="205"/>
    <d v="2024-07-11T00:00:00"/>
    <n v="0"/>
    <x v="0"/>
    <x v="8"/>
    <n v="0"/>
    <x v="0"/>
    <x v="8"/>
  </r>
  <r>
    <x v="1100"/>
    <x v="2"/>
    <x v="14"/>
    <x v="5"/>
    <x v="144"/>
    <x v="0"/>
    <x v="0"/>
    <x v="198"/>
    <d v="2024-10-11T00:00:00"/>
    <n v="0"/>
    <x v="0"/>
    <x v="9"/>
    <n v="0"/>
    <x v="0"/>
    <x v="9"/>
  </r>
  <r>
    <x v="1101"/>
    <x v="2"/>
    <x v="5"/>
    <x v="2"/>
    <x v="160"/>
    <x v="0"/>
    <x v="0"/>
    <x v="220"/>
    <d v="2024-09-12T00:00:00"/>
    <n v="1"/>
    <x v="1"/>
    <x v="11"/>
    <n v="1"/>
    <x v="1"/>
    <x v="11"/>
  </r>
  <r>
    <x v="1102"/>
    <x v="2"/>
    <x v="5"/>
    <x v="0"/>
    <x v="162"/>
    <x v="2"/>
    <x v="0"/>
    <x v="134"/>
    <d v="2024-07-05T00:00:00"/>
    <n v="0"/>
    <x v="0"/>
    <x v="8"/>
    <n v="0"/>
    <x v="0"/>
    <x v="8"/>
  </r>
  <r>
    <x v="1103"/>
    <x v="2"/>
    <x v="5"/>
    <x v="3"/>
    <x v="166"/>
    <x v="0"/>
    <x v="5"/>
    <x v="206"/>
    <d v="2024-09-30T00:00:00"/>
    <n v="0"/>
    <x v="0"/>
    <x v="11"/>
    <n v="0"/>
    <x v="0"/>
    <x v="11"/>
  </r>
  <r>
    <x v="1104"/>
    <x v="2"/>
    <x v="2"/>
    <x v="3"/>
    <x v="178"/>
    <x v="2"/>
    <x v="0"/>
    <x v="229"/>
    <d v="2024-10-20T00:00:00"/>
    <n v="0"/>
    <x v="0"/>
    <x v="9"/>
    <n v="0"/>
    <x v="0"/>
    <x v="9"/>
  </r>
  <r>
    <x v="1105"/>
    <x v="2"/>
    <x v="2"/>
    <x v="1"/>
    <x v="179"/>
    <x v="2"/>
    <x v="1"/>
    <x v="165"/>
    <d v="2024-11-19T00:00:00"/>
    <n v="0"/>
    <x v="0"/>
    <x v="10"/>
    <n v="0"/>
    <x v="0"/>
    <x v="10"/>
  </r>
  <r>
    <x v="1106"/>
    <x v="2"/>
    <x v="5"/>
    <x v="5"/>
    <x v="180"/>
    <x v="1"/>
    <x v="4"/>
    <x v="179"/>
    <d v="2024-08-14T00:00:00"/>
    <n v="0"/>
    <x v="0"/>
    <x v="6"/>
    <n v="0"/>
    <x v="0"/>
    <x v="6"/>
  </r>
  <r>
    <x v="1107"/>
    <x v="2"/>
    <x v="14"/>
    <x v="6"/>
    <x v="182"/>
    <x v="0"/>
    <x v="0"/>
    <x v="121"/>
    <d v="2024-12-02T00:00:00"/>
    <n v="0"/>
    <x v="0"/>
    <x v="7"/>
    <n v="0"/>
    <x v="0"/>
    <x v="7"/>
  </r>
  <r>
    <x v="1108"/>
    <x v="2"/>
    <x v="5"/>
    <x v="4"/>
    <x v="189"/>
    <x v="2"/>
    <x v="2"/>
    <x v="201"/>
    <d v="2024-12-07T00:00:00"/>
    <n v="0"/>
    <x v="0"/>
    <x v="7"/>
    <n v="0"/>
    <x v="0"/>
    <x v="7"/>
  </r>
  <r>
    <x v="1109"/>
    <x v="2"/>
    <x v="2"/>
    <x v="3"/>
    <x v="190"/>
    <x v="1"/>
    <x v="4"/>
    <x v="163"/>
    <d v="2024-07-01T00:00:00"/>
    <n v="0"/>
    <x v="0"/>
    <x v="8"/>
    <n v="0"/>
    <x v="0"/>
    <x v="8"/>
  </r>
  <r>
    <x v="1110"/>
    <x v="2"/>
    <x v="2"/>
    <x v="3"/>
    <x v="192"/>
    <x v="0"/>
    <x v="3"/>
    <x v="233"/>
    <d v="2024-07-19T00:00:00"/>
    <n v="0"/>
    <x v="0"/>
    <x v="8"/>
    <n v="0"/>
    <x v="0"/>
    <x v="8"/>
  </r>
  <r>
    <x v="1111"/>
    <x v="2"/>
    <x v="14"/>
    <x v="3"/>
    <x v="86"/>
    <x v="1"/>
    <x v="1"/>
    <x v="181"/>
    <d v="2024-10-27T00:00:00"/>
    <n v="0"/>
    <x v="0"/>
    <x v="9"/>
    <n v="0"/>
    <x v="0"/>
    <x v="9"/>
  </r>
  <r>
    <x v="1112"/>
    <x v="2"/>
    <x v="14"/>
    <x v="3"/>
    <x v="92"/>
    <x v="2"/>
    <x v="5"/>
    <x v="160"/>
    <d v="2024-09-21T00:00:00"/>
    <n v="0"/>
    <x v="0"/>
    <x v="11"/>
    <n v="0"/>
    <x v="0"/>
    <x v="11"/>
  </r>
  <r>
    <x v="1113"/>
    <x v="2"/>
    <x v="2"/>
    <x v="6"/>
    <x v="97"/>
    <x v="2"/>
    <x v="0"/>
    <x v="180"/>
    <d v="2024-09-05T00:00:00"/>
    <n v="0"/>
    <x v="0"/>
    <x v="11"/>
    <n v="0"/>
    <x v="0"/>
    <x v="11"/>
  </r>
  <r>
    <x v="1114"/>
    <x v="2"/>
    <x v="5"/>
    <x v="6"/>
    <x v="101"/>
    <x v="2"/>
    <x v="1"/>
    <x v="191"/>
    <d v="2024-11-03T00:00:00"/>
    <n v="0"/>
    <x v="0"/>
    <x v="10"/>
    <n v="0"/>
    <x v="0"/>
    <x v="10"/>
  </r>
  <r>
    <x v="1115"/>
    <x v="2"/>
    <x v="5"/>
    <x v="7"/>
    <x v="104"/>
    <x v="0"/>
    <x v="3"/>
    <x v="192"/>
    <d v="2024-10-30T00:00:00"/>
    <n v="0"/>
    <x v="0"/>
    <x v="9"/>
    <n v="0"/>
    <x v="0"/>
    <x v="9"/>
  </r>
  <r>
    <x v="1116"/>
    <x v="2"/>
    <x v="5"/>
    <x v="2"/>
    <x v="107"/>
    <x v="2"/>
    <x v="1"/>
    <x v="180"/>
    <d v="2024-09-05T00:00:00"/>
    <n v="0"/>
    <x v="0"/>
    <x v="11"/>
    <n v="0"/>
    <x v="0"/>
    <x v="11"/>
  </r>
  <r>
    <x v="1117"/>
    <x v="2"/>
    <x v="2"/>
    <x v="3"/>
    <x v="108"/>
    <x v="2"/>
    <x v="2"/>
    <x v="145"/>
    <d v="2024-11-18T00:00:00"/>
    <n v="0"/>
    <x v="0"/>
    <x v="10"/>
    <n v="0"/>
    <x v="0"/>
    <x v="10"/>
  </r>
  <r>
    <x v="1118"/>
    <x v="2"/>
    <x v="14"/>
    <x v="3"/>
    <x v="111"/>
    <x v="1"/>
    <x v="4"/>
    <x v="195"/>
    <d v="2024-07-22T00:00:00"/>
    <n v="0"/>
    <x v="0"/>
    <x v="8"/>
    <n v="0"/>
    <x v="0"/>
    <x v="8"/>
  </r>
  <r>
    <x v="1119"/>
    <x v="2"/>
    <x v="2"/>
    <x v="4"/>
    <x v="115"/>
    <x v="1"/>
    <x v="1"/>
    <x v="199"/>
    <d v="2024-11-20T00:00:00"/>
    <n v="0"/>
    <x v="0"/>
    <x v="10"/>
    <n v="0"/>
    <x v="0"/>
    <x v="10"/>
  </r>
  <r>
    <x v="1120"/>
    <x v="2"/>
    <x v="14"/>
    <x v="5"/>
    <x v="116"/>
    <x v="2"/>
    <x v="5"/>
    <x v="134"/>
    <d v="2024-07-05T00:00:00"/>
    <n v="0"/>
    <x v="0"/>
    <x v="8"/>
    <n v="0"/>
    <x v="0"/>
    <x v="8"/>
  </r>
  <r>
    <x v="1121"/>
    <x v="2"/>
    <x v="2"/>
    <x v="1"/>
    <x v="124"/>
    <x v="1"/>
    <x v="0"/>
    <x v="136"/>
    <d v="2024-10-23T00:00:00"/>
    <n v="0"/>
    <x v="0"/>
    <x v="9"/>
    <n v="0"/>
    <x v="0"/>
    <x v="9"/>
  </r>
  <r>
    <x v="1122"/>
    <x v="2"/>
    <x v="2"/>
    <x v="3"/>
    <x v="126"/>
    <x v="1"/>
    <x v="4"/>
    <x v="151"/>
    <d v="2024-11-02T00:00:00"/>
    <n v="0"/>
    <x v="0"/>
    <x v="10"/>
    <n v="0"/>
    <x v="0"/>
    <x v="10"/>
  </r>
  <r>
    <x v="1123"/>
    <x v="2"/>
    <x v="5"/>
    <x v="4"/>
    <x v="128"/>
    <x v="0"/>
    <x v="0"/>
    <x v="124"/>
    <d v="2024-07-13T00:00:00"/>
    <n v="0"/>
    <x v="0"/>
    <x v="8"/>
    <n v="0"/>
    <x v="0"/>
    <x v="8"/>
  </r>
  <r>
    <x v="1124"/>
    <x v="2"/>
    <x v="14"/>
    <x v="0"/>
    <x v="131"/>
    <x v="1"/>
    <x v="2"/>
    <x v="205"/>
    <d v="2024-07-11T00:00:00"/>
    <n v="0"/>
    <x v="0"/>
    <x v="8"/>
    <n v="0"/>
    <x v="0"/>
    <x v="8"/>
  </r>
  <r>
    <x v="1125"/>
    <x v="2"/>
    <x v="14"/>
    <x v="5"/>
    <x v="144"/>
    <x v="0"/>
    <x v="0"/>
    <x v="198"/>
    <d v="2024-10-11T00:00:00"/>
    <n v="0"/>
    <x v="0"/>
    <x v="9"/>
    <n v="0"/>
    <x v="0"/>
    <x v="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1D487D4-F90D-424C-88FD-4CEF4274EB65}" name="PivotTable8"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5">
  <location ref="E7:F20" firstHeaderRow="1" firstDataRow="1" firstDataCol="1" rowPageCount="1" colPageCount="1"/>
  <pivotFields count="17">
    <pivotField dataField="1" showAll="0"/>
    <pivotField showAll="0">
      <items count="6">
        <item x="4"/>
        <item x="0"/>
        <item x="1"/>
        <item x="2"/>
        <item x="3"/>
        <item t="default"/>
      </items>
    </pivotField>
    <pivotField showAll="0"/>
    <pivotField showAll="0">
      <items count="9">
        <item x="3"/>
        <item x="6"/>
        <item x="7"/>
        <item x="0"/>
        <item x="5"/>
        <item x="1"/>
        <item x="4"/>
        <item x="2"/>
        <item t="default"/>
      </items>
    </pivotField>
    <pivotField showAll="0"/>
    <pivotField showAll="0">
      <items count="4">
        <item x="0"/>
        <item x="1"/>
        <item x="2"/>
        <item t="default"/>
      </items>
    </pivotField>
    <pivotField showAll="0"/>
    <pivotField numFmtId="14" showAll="0">
      <items count="240">
        <item x="43"/>
        <item x="53"/>
        <item x="14"/>
        <item x="82"/>
        <item x="19"/>
        <item x="85"/>
        <item x="69"/>
        <item x="4"/>
        <item x="83"/>
        <item x="87"/>
        <item x="103"/>
        <item x="51"/>
        <item x="114"/>
        <item x="97"/>
        <item x="75"/>
        <item x="6"/>
        <item x="24"/>
        <item x="74"/>
        <item x="28"/>
        <item x="65"/>
        <item x="37"/>
        <item x="22"/>
        <item x="109"/>
        <item x="17"/>
        <item x="108"/>
        <item x="18"/>
        <item x="26"/>
        <item x="2"/>
        <item x="88"/>
        <item x="59"/>
        <item x="84"/>
        <item x="5"/>
        <item x="62"/>
        <item x="111"/>
        <item x="0"/>
        <item x="101"/>
        <item x="12"/>
        <item x="32"/>
        <item x="102"/>
        <item x="49"/>
        <item x="89"/>
        <item x="113"/>
        <item x="60"/>
        <item x="29"/>
        <item x="33"/>
        <item x="58"/>
        <item x="15"/>
        <item x="100"/>
        <item x="77"/>
        <item x="66"/>
        <item x="95"/>
        <item x="99"/>
        <item x="57"/>
        <item x="40"/>
        <item x="68"/>
        <item x="91"/>
        <item x="21"/>
        <item x="76"/>
        <item x="93"/>
        <item x="112"/>
        <item x="86"/>
        <item x="107"/>
        <item x="9"/>
        <item x="55"/>
        <item x="56"/>
        <item x="47"/>
        <item x="42"/>
        <item x="73"/>
        <item x="23"/>
        <item x="78"/>
        <item x="35"/>
        <item x="46"/>
        <item x="34"/>
        <item x="67"/>
        <item x="7"/>
        <item x="64"/>
        <item x="110"/>
        <item x="80"/>
        <item x="16"/>
        <item x="52"/>
        <item x="27"/>
        <item x="54"/>
        <item x="61"/>
        <item x="72"/>
        <item x="20"/>
        <item x="31"/>
        <item x="71"/>
        <item x="48"/>
        <item x="96"/>
        <item x="38"/>
        <item x="105"/>
        <item x="50"/>
        <item x="44"/>
        <item x="92"/>
        <item x="8"/>
        <item x="25"/>
        <item x="45"/>
        <item x="79"/>
        <item x="70"/>
        <item x="36"/>
        <item x="90"/>
        <item x="10"/>
        <item x="63"/>
        <item x="39"/>
        <item x="104"/>
        <item x="106"/>
        <item x="3"/>
        <item x="1"/>
        <item x="98"/>
        <item x="94"/>
        <item x="30"/>
        <item x="81"/>
        <item x="11"/>
        <item x="13"/>
        <item x="118"/>
        <item x="115"/>
        <item x="119"/>
        <item x="116"/>
        <item x="41"/>
        <item x="117"/>
        <item x="163"/>
        <item x="173"/>
        <item x="134"/>
        <item x="202"/>
        <item x="139"/>
        <item x="205"/>
        <item x="189"/>
        <item x="124"/>
        <item x="203"/>
        <item x="207"/>
        <item x="223"/>
        <item x="171"/>
        <item x="233"/>
        <item x="217"/>
        <item x="195"/>
        <item x="126"/>
        <item x="144"/>
        <item x="194"/>
        <item x="148"/>
        <item x="185"/>
        <item x="157"/>
        <item x="142"/>
        <item x="228"/>
        <item x="137"/>
        <item x="227"/>
        <item x="138"/>
        <item x="146"/>
        <item x="122"/>
        <item x="208"/>
        <item x="179"/>
        <item x="204"/>
        <item x="125"/>
        <item x="182"/>
        <item x="230"/>
        <item x="120"/>
        <item x="221"/>
        <item x="132"/>
        <item x="152"/>
        <item x="222"/>
        <item x="169"/>
        <item x="209"/>
        <item x="232"/>
        <item x="180"/>
        <item x="149"/>
        <item x="153"/>
        <item x="178"/>
        <item x="135"/>
        <item x="220"/>
        <item x="197"/>
        <item x="186"/>
        <item x="215"/>
        <item x="219"/>
        <item x="177"/>
        <item x="160"/>
        <item x="188"/>
        <item x="211"/>
        <item x="141"/>
        <item x="196"/>
        <item x="213"/>
        <item x="231"/>
        <item x="206"/>
        <item x="129"/>
        <item x="175"/>
        <item x="176"/>
        <item x="167"/>
        <item x="162"/>
        <item x="193"/>
        <item x="143"/>
        <item x="198"/>
        <item x="155"/>
        <item x="166"/>
        <item x="154"/>
        <item x="187"/>
        <item x="127"/>
        <item x="184"/>
        <item x="229"/>
        <item x="200"/>
        <item x="136"/>
        <item x="172"/>
        <item x="147"/>
        <item x="174"/>
        <item x="181"/>
        <item x="192"/>
        <item x="140"/>
        <item x="151"/>
        <item x="191"/>
        <item x="168"/>
        <item x="216"/>
        <item x="158"/>
        <item x="225"/>
        <item x="170"/>
        <item x="164"/>
        <item x="212"/>
        <item x="128"/>
        <item x="145"/>
        <item x="165"/>
        <item x="199"/>
        <item x="190"/>
        <item x="156"/>
        <item x="210"/>
        <item x="130"/>
        <item x="183"/>
        <item x="159"/>
        <item x="224"/>
        <item x="226"/>
        <item x="123"/>
        <item x="121"/>
        <item x="218"/>
        <item x="214"/>
        <item x="150"/>
        <item x="201"/>
        <item x="131"/>
        <item x="133"/>
        <item x="237"/>
        <item x="234"/>
        <item x="238"/>
        <item x="235"/>
        <item x="161"/>
        <item x="236"/>
        <item t="default"/>
      </items>
    </pivotField>
    <pivotField numFmtId="14" showAll="0"/>
    <pivotField showAll="0"/>
    <pivotField axis="axisPage" multipleItemSelectionAllowed="1" showAll="0">
      <items count="3">
        <item x="0"/>
        <item h="1" x="1"/>
        <item t="default"/>
      </items>
    </pivotField>
    <pivotField axis="axisRow" showAll="0">
      <items count="13">
        <item x="2"/>
        <item x="0"/>
        <item x="5"/>
        <item x="3"/>
        <item x="4"/>
        <item x="1"/>
        <item x="8"/>
        <item x="6"/>
        <item x="11"/>
        <item x="9"/>
        <item x="10"/>
        <item x="7"/>
        <item t="default"/>
      </items>
    </pivotField>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11"/>
  </rowFields>
  <rowItems count="13">
    <i>
      <x/>
    </i>
    <i>
      <x v="1"/>
    </i>
    <i>
      <x v="2"/>
    </i>
    <i>
      <x v="3"/>
    </i>
    <i>
      <x v="4"/>
    </i>
    <i>
      <x v="5"/>
    </i>
    <i>
      <x v="6"/>
    </i>
    <i>
      <x v="7"/>
    </i>
    <i>
      <x v="8"/>
    </i>
    <i>
      <x v="9"/>
    </i>
    <i>
      <x v="10"/>
    </i>
    <i>
      <x v="11"/>
    </i>
    <i t="grand">
      <x/>
    </i>
  </rowItems>
  <colItems count="1">
    <i/>
  </colItems>
  <pageFields count="1">
    <pageField fld="10" hier="-1"/>
  </pageFields>
  <dataFields count="1">
    <dataField name="Count of Ticket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25B084B-DD06-4929-BE21-488F1383FA1A}" name="PivotTable9"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5">
  <location ref="B7:C20" firstHeaderRow="1" firstDataRow="1" firstDataCol="1" rowPageCount="1" colPageCount="1"/>
  <pivotFields count="17">
    <pivotField dataField="1" showAll="0"/>
    <pivotField showAll="0">
      <items count="6">
        <item x="4"/>
        <item x="0"/>
        <item x="1"/>
        <item x="2"/>
        <item x="3"/>
        <item t="default"/>
      </items>
    </pivotField>
    <pivotField showAll="0"/>
    <pivotField showAll="0">
      <items count="9">
        <item x="3"/>
        <item x="6"/>
        <item x="7"/>
        <item x="0"/>
        <item x="5"/>
        <item x="1"/>
        <item x="4"/>
        <item x="2"/>
        <item t="default"/>
      </items>
    </pivotField>
    <pivotField showAll="0"/>
    <pivotField showAll="0">
      <items count="4">
        <item x="0"/>
        <item x="1"/>
        <item x="2"/>
        <item t="default"/>
      </items>
    </pivotField>
    <pivotField showAll="0"/>
    <pivotField numFmtId="14" showAll="0">
      <items count="240">
        <item x="43"/>
        <item x="53"/>
        <item x="14"/>
        <item x="82"/>
        <item x="19"/>
        <item x="85"/>
        <item x="69"/>
        <item x="4"/>
        <item x="83"/>
        <item x="87"/>
        <item x="103"/>
        <item x="51"/>
        <item x="114"/>
        <item x="97"/>
        <item x="75"/>
        <item x="6"/>
        <item x="24"/>
        <item x="74"/>
        <item x="28"/>
        <item x="65"/>
        <item x="37"/>
        <item x="22"/>
        <item x="109"/>
        <item x="17"/>
        <item x="108"/>
        <item x="18"/>
        <item x="26"/>
        <item x="2"/>
        <item x="88"/>
        <item x="59"/>
        <item x="84"/>
        <item x="5"/>
        <item x="62"/>
        <item x="111"/>
        <item x="0"/>
        <item x="101"/>
        <item x="12"/>
        <item x="32"/>
        <item x="102"/>
        <item x="49"/>
        <item x="89"/>
        <item x="113"/>
        <item x="60"/>
        <item x="29"/>
        <item x="33"/>
        <item x="58"/>
        <item x="15"/>
        <item x="100"/>
        <item x="77"/>
        <item x="66"/>
        <item x="95"/>
        <item x="99"/>
        <item x="57"/>
        <item x="40"/>
        <item x="68"/>
        <item x="91"/>
        <item x="21"/>
        <item x="76"/>
        <item x="93"/>
        <item x="112"/>
        <item x="86"/>
        <item x="107"/>
        <item x="9"/>
        <item x="55"/>
        <item x="56"/>
        <item x="47"/>
        <item x="42"/>
        <item x="73"/>
        <item x="23"/>
        <item x="78"/>
        <item x="35"/>
        <item x="46"/>
        <item x="34"/>
        <item x="67"/>
        <item x="7"/>
        <item x="64"/>
        <item x="110"/>
        <item x="80"/>
        <item x="16"/>
        <item x="52"/>
        <item x="27"/>
        <item x="54"/>
        <item x="61"/>
        <item x="72"/>
        <item x="20"/>
        <item x="31"/>
        <item x="71"/>
        <item x="48"/>
        <item x="96"/>
        <item x="38"/>
        <item x="105"/>
        <item x="50"/>
        <item x="44"/>
        <item x="92"/>
        <item x="8"/>
        <item x="25"/>
        <item x="45"/>
        <item x="79"/>
        <item x="70"/>
        <item x="36"/>
        <item x="90"/>
        <item x="10"/>
        <item x="63"/>
        <item x="39"/>
        <item x="104"/>
        <item x="106"/>
        <item x="3"/>
        <item x="1"/>
        <item x="98"/>
        <item x="94"/>
        <item x="30"/>
        <item x="81"/>
        <item x="11"/>
        <item x="13"/>
        <item x="118"/>
        <item x="115"/>
        <item x="119"/>
        <item x="116"/>
        <item x="41"/>
        <item x="117"/>
        <item x="163"/>
        <item x="173"/>
        <item x="134"/>
        <item x="202"/>
        <item x="139"/>
        <item x="205"/>
        <item x="189"/>
        <item x="124"/>
        <item x="203"/>
        <item x="207"/>
        <item x="223"/>
        <item x="171"/>
        <item x="233"/>
        <item x="217"/>
        <item x="195"/>
        <item x="126"/>
        <item x="144"/>
        <item x="194"/>
        <item x="148"/>
        <item x="185"/>
        <item x="157"/>
        <item x="142"/>
        <item x="228"/>
        <item x="137"/>
        <item x="227"/>
        <item x="138"/>
        <item x="146"/>
        <item x="122"/>
        <item x="208"/>
        <item x="179"/>
        <item x="204"/>
        <item x="125"/>
        <item x="182"/>
        <item x="230"/>
        <item x="120"/>
        <item x="221"/>
        <item x="132"/>
        <item x="152"/>
        <item x="222"/>
        <item x="169"/>
        <item x="209"/>
        <item x="232"/>
        <item x="180"/>
        <item x="149"/>
        <item x="153"/>
        <item x="178"/>
        <item x="135"/>
        <item x="220"/>
        <item x="197"/>
        <item x="186"/>
        <item x="215"/>
        <item x="219"/>
        <item x="177"/>
        <item x="160"/>
        <item x="188"/>
        <item x="211"/>
        <item x="141"/>
        <item x="196"/>
        <item x="213"/>
        <item x="231"/>
        <item x="206"/>
        <item x="129"/>
        <item x="175"/>
        <item x="176"/>
        <item x="167"/>
        <item x="162"/>
        <item x="193"/>
        <item x="143"/>
        <item x="198"/>
        <item x="155"/>
        <item x="166"/>
        <item x="154"/>
        <item x="187"/>
        <item x="127"/>
        <item x="184"/>
        <item x="229"/>
        <item x="200"/>
        <item x="136"/>
        <item x="172"/>
        <item x="147"/>
        <item x="174"/>
        <item x="181"/>
        <item x="192"/>
        <item x="140"/>
        <item x="151"/>
        <item x="191"/>
        <item x="168"/>
        <item x="216"/>
        <item x="158"/>
        <item x="225"/>
        <item x="170"/>
        <item x="164"/>
        <item x="212"/>
        <item x="128"/>
        <item x="145"/>
        <item x="165"/>
        <item x="199"/>
        <item x="190"/>
        <item x="156"/>
        <item x="210"/>
        <item x="130"/>
        <item x="183"/>
        <item x="159"/>
        <item x="224"/>
        <item x="226"/>
        <item x="123"/>
        <item x="121"/>
        <item x="218"/>
        <item x="214"/>
        <item x="150"/>
        <item x="201"/>
        <item x="131"/>
        <item x="133"/>
        <item x="237"/>
        <item x="234"/>
        <item x="238"/>
        <item x="235"/>
        <item x="161"/>
        <item x="236"/>
        <item t="default"/>
      </items>
    </pivotField>
    <pivotField numFmtId="14" showAll="0"/>
    <pivotField showAll="0"/>
    <pivotField axis="axisPage" multipleItemSelectionAllowed="1" showAll="0">
      <items count="3">
        <item x="0"/>
        <item x="1"/>
        <item t="default"/>
      </items>
    </pivotField>
    <pivotField axis="axisRow" showAll="0">
      <items count="13">
        <item x="2"/>
        <item x="0"/>
        <item x="5"/>
        <item x="3"/>
        <item x="4"/>
        <item x="1"/>
        <item x="8"/>
        <item x="6"/>
        <item x="11"/>
        <item x="9"/>
        <item x="10"/>
        <item x="7"/>
        <item t="default"/>
      </items>
    </pivotField>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11"/>
  </rowFields>
  <rowItems count="13">
    <i>
      <x/>
    </i>
    <i>
      <x v="1"/>
    </i>
    <i>
      <x v="2"/>
    </i>
    <i>
      <x v="3"/>
    </i>
    <i>
      <x v="4"/>
    </i>
    <i>
      <x v="5"/>
    </i>
    <i>
      <x v="6"/>
    </i>
    <i>
      <x v="7"/>
    </i>
    <i>
      <x v="8"/>
    </i>
    <i>
      <x v="9"/>
    </i>
    <i>
      <x v="10"/>
    </i>
    <i>
      <x v="11"/>
    </i>
    <i t="grand">
      <x/>
    </i>
  </rowItems>
  <colItems count="1">
    <i/>
  </colItems>
  <pageFields count="1">
    <pageField fld="10" hier="-1"/>
  </pageFields>
  <dataFields count="1">
    <dataField name="Count of Ticket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1B8FE5B-CACD-4ADB-9049-D4BFB28AC427}"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S14:BT17" firstHeaderRow="1" firstDataRow="1" firstDataCol="1"/>
  <pivotFields count="17">
    <pivotField dataField="1" showAll="0"/>
    <pivotField showAll="0">
      <items count="6">
        <item x="4"/>
        <item x="0"/>
        <item x="1"/>
        <item x="2"/>
        <item x="3"/>
        <item t="default"/>
      </items>
    </pivotField>
    <pivotField showAll="0"/>
    <pivotField showAll="0">
      <items count="9">
        <item x="3"/>
        <item x="6"/>
        <item x="7"/>
        <item x="0"/>
        <item x="5"/>
        <item x="1"/>
        <item x="4"/>
        <item x="2"/>
        <item t="default"/>
      </items>
    </pivotField>
    <pivotField showAll="0"/>
    <pivotField showAll="0">
      <items count="4">
        <item x="0"/>
        <item x="1"/>
        <item x="2"/>
        <item t="default"/>
      </items>
    </pivotField>
    <pivotField showAll="0"/>
    <pivotField numFmtId="14" showAll="0">
      <items count="240">
        <item x="43"/>
        <item x="53"/>
        <item x="14"/>
        <item x="82"/>
        <item x="19"/>
        <item x="85"/>
        <item x="69"/>
        <item x="4"/>
        <item x="83"/>
        <item x="87"/>
        <item x="103"/>
        <item x="51"/>
        <item x="114"/>
        <item x="97"/>
        <item x="75"/>
        <item x="6"/>
        <item x="24"/>
        <item x="74"/>
        <item x="28"/>
        <item x="65"/>
        <item x="37"/>
        <item x="22"/>
        <item x="109"/>
        <item x="17"/>
        <item x="108"/>
        <item x="18"/>
        <item x="26"/>
        <item x="2"/>
        <item x="88"/>
        <item x="59"/>
        <item x="84"/>
        <item x="5"/>
        <item x="62"/>
        <item x="111"/>
        <item x="0"/>
        <item x="101"/>
        <item x="12"/>
        <item x="32"/>
        <item x="102"/>
        <item x="49"/>
        <item x="89"/>
        <item x="113"/>
        <item x="60"/>
        <item x="29"/>
        <item x="33"/>
        <item x="58"/>
        <item x="15"/>
        <item x="100"/>
        <item x="77"/>
        <item x="66"/>
        <item x="95"/>
        <item x="99"/>
        <item x="57"/>
        <item x="40"/>
        <item x="68"/>
        <item x="91"/>
        <item x="21"/>
        <item x="76"/>
        <item x="93"/>
        <item x="112"/>
        <item x="86"/>
        <item x="107"/>
        <item x="9"/>
        <item x="55"/>
        <item x="56"/>
        <item x="47"/>
        <item x="42"/>
        <item x="73"/>
        <item x="23"/>
        <item x="78"/>
        <item x="35"/>
        <item x="46"/>
        <item x="34"/>
        <item x="67"/>
        <item x="7"/>
        <item x="64"/>
        <item x="110"/>
        <item x="80"/>
        <item x="16"/>
        <item x="52"/>
        <item x="27"/>
        <item x="54"/>
        <item x="61"/>
        <item x="72"/>
        <item x="20"/>
        <item x="31"/>
        <item x="71"/>
        <item x="48"/>
        <item x="96"/>
        <item x="38"/>
        <item x="105"/>
        <item x="50"/>
        <item x="44"/>
        <item x="92"/>
        <item x="8"/>
        <item x="25"/>
        <item x="45"/>
        <item x="79"/>
        <item x="70"/>
        <item x="36"/>
        <item x="90"/>
        <item x="10"/>
        <item x="63"/>
        <item x="39"/>
        <item x="104"/>
        <item x="106"/>
        <item x="3"/>
        <item x="1"/>
        <item x="98"/>
        <item x="94"/>
        <item x="30"/>
        <item x="81"/>
        <item x="11"/>
        <item x="13"/>
        <item x="118"/>
        <item x="115"/>
        <item x="119"/>
        <item x="116"/>
        <item x="41"/>
        <item x="117"/>
        <item x="163"/>
        <item x="173"/>
        <item x="134"/>
        <item x="202"/>
        <item x="139"/>
        <item x="205"/>
        <item x="189"/>
        <item x="124"/>
        <item x="203"/>
        <item x="207"/>
        <item x="223"/>
        <item x="171"/>
        <item x="233"/>
        <item x="217"/>
        <item x="195"/>
        <item x="126"/>
        <item x="144"/>
        <item x="194"/>
        <item x="148"/>
        <item x="185"/>
        <item x="157"/>
        <item x="142"/>
        <item x="228"/>
        <item x="137"/>
        <item x="227"/>
        <item x="138"/>
        <item x="146"/>
        <item x="122"/>
        <item x="208"/>
        <item x="179"/>
        <item x="204"/>
        <item x="125"/>
        <item x="182"/>
        <item x="230"/>
        <item x="120"/>
        <item x="221"/>
        <item x="132"/>
        <item x="152"/>
        <item x="222"/>
        <item x="169"/>
        <item x="209"/>
        <item x="232"/>
        <item x="180"/>
        <item x="149"/>
        <item x="153"/>
        <item x="178"/>
        <item x="135"/>
        <item x="220"/>
        <item x="197"/>
        <item x="186"/>
        <item x="215"/>
        <item x="219"/>
        <item x="177"/>
        <item x="160"/>
        <item x="188"/>
        <item x="211"/>
        <item x="141"/>
        <item x="196"/>
        <item x="213"/>
        <item x="231"/>
        <item x="206"/>
        <item x="129"/>
        <item x="175"/>
        <item x="176"/>
        <item x="167"/>
        <item x="162"/>
        <item x="193"/>
        <item x="143"/>
        <item x="198"/>
        <item x="155"/>
        <item x="166"/>
        <item x="154"/>
        <item x="187"/>
        <item x="127"/>
        <item x="184"/>
        <item x="229"/>
        <item x="200"/>
        <item x="136"/>
        <item x="172"/>
        <item x="147"/>
        <item x="174"/>
        <item x="181"/>
        <item x="192"/>
        <item x="140"/>
        <item x="151"/>
        <item x="191"/>
        <item x="168"/>
        <item x="216"/>
        <item x="158"/>
        <item x="225"/>
        <item x="170"/>
        <item x="164"/>
        <item x="212"/>
        <item x="128"/>
        <item x="145"/>
        <item x="165"/>
        <item x="199"/>
        <item x="190"/>
        <item x="156"/>
        <item x="210"/>
        <item x="130"/>
        <item x="183"/>
        <item x="159"/>
        <item x="224"/>
        <item x="226"/>
        <item x="123"/>
        <item x="121"/>
        <item x="218"/>
        <item x="214"/>
        <item x="150"/>
        <item x="201"/>
        <item x="131"/>
        <item x="133"/>
        <item x="237"/>
        <item x="234"/>
        <item x="238"/>
        <item x="235"/>
        <item x="161"/>
        <item x="236"/>
        <item t="default"/>
      </items>
    </pivotField>
    <pivotField numFmtId="14" showAll="0"/>
    <pivotField showAll="0"/>
    <pivotField axis="axisRow" showAll="0">
      <items count="3">
        <item x="0"/>
        <item x="1"/>
        <item t="default"/>
      </items>
    </pivotField>
    <pivotField showAll="0">
      <items count="13">
        <item x="2"/>
        <item x="0"/>
        <item x="5"/>
        <item x="3"/>
        <item x="4"/>
        <item x="1"/>
        <item x="8"/>
        <item x="6"/>
        <item x="11"/>
        <item x="9"/>
        <item x="10"/>
        <item x="7"/>
        <item t="default"/>
      </items>
    </pivotField>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10"/>
  </rowFields>
  <rowItems count="3">
    <i>
      <x/>
    </i>
    <i>
      <x v="1"/>
    </i>
    <i t="grand">
      <x/>
    </i>
  </rowItems>
  <colItems count="1">
    <i/>
  </colItems>
  <dataFields count="1">
    <dataField name="Count of Ticket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A5A668E-F83F-453E-894F-20CB20F02303}"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T21:BU25" firstHeaderRow="1" firstDataRow="1" firstDataCol="1"/>
  <pivotFields count="17">
    <pivotField showAll="0"/>
    <pivotField showAll="0">
      <items count="6">
        <item x="4"/>
        <item x="0"/>
        <item x="1"/>
        <item x="2"/>
        <item x="3"/>
        <item t="default"/>
      </items>
    </pivotField>
    <pivotField showAll="0"/>
    <pivotField showAll="0">
      <items count="9">
        <item x="3"/>
        <item x="6"/>
        <item x="7"/>
        <item x="0"/>
        <item x="5"/>
        <item x="1"/>
        <item x="4"/>
        <item x="2"/>
        <item t="default"/>
      </items>
    </pivotField>
    <pivotField showAll="0"/>
    <pivotField axis="axisRow" showAll="0">
      <items count="4">
        <item x="0"/>
        <item x="1"/>
        <item x="2"/>
        <item t="default"/>
      </items>
    </pivotField>
    <pivotField showAll="0"/>
    <pivotField numFmtId="14" showAll="0">
      <items count="240">
        <item x="43"/>
        <item x="53"/>
        <item x="14"/>
        <item x="82"/>
        <item x="19"/>
        <item x="85"/>
        <item x="69"/>
        <item x="4"/>
        <item x="83"/>
        <item x="87"/>
        <item x="103"/>
        <item x="51"/>
        <item x="114"/>
        <item x="97"/>
        <item x="75"/>
        <item x="6"/>
        <item x="24"/>
        <item x="74"/>
        <item x="28"/>
        <item x="65"/>
        <item x="37"/>
        <item x="22"/>
        <item x="109"/>
        <item x="17"/>
        <item x="108"/>
        <item x="18"/>
        <item x="26"/>
        <item x="2"/>
        <item x="88"/>
        <item x="59"/>
        <item x="84"/>
        <item x="5"/>
        <item x="62"/>
        <item x="111"/>
        <item x="0"/>
        <item x="101"/>
        <item x="12"/>
        <item x="32"/>
        <item x="102"/>
        <item x="49"/>
        <item x="89"/>
        <item x="113"/>
        <item x="60"/>
        <item x="29"/>
        <item x="33"/>
        <item x="58"/>
        <item x="15"/>
        <item x="100"/>
        <item x="77"/>
        <item x="66"/>
        <item x="95"/>
        <item x="99"/>
        <item x="57"/>
        <item x="40"/>
        <item x="68"/>
        <item x="91"/>
        <item x="21"/>
        <item x="76"/>
        <item x="93"/>
        <item x="112"/>
        <item x="86"/>
        <item x="107"/>
        <item x="9"/>
        <item x="55"/>
        <item x="56"/>
        <item x="47"/>
        <item x="42"/>
        <item x="73"/>
        <item x="23"/>
        <item x="78"/>
        <item x="35"/>
        <item x="46"/>
        <item x="34"/>
        <item x="67"/>
        <item x="7"/>
        <item x="64"/>
        <item x="110"/>
        <item x="80"/>
        <item x="16"/>
        <item x="52"/>
        <item x="27"/>
        <item x="54"/>
        <item x="61"/>
        <item x="72"/>
        <item x="20"/>
        <item x="31"/>
        <item x="71"/>
        <item x="48"/>
        <item x="96"/>
        <item x="38"/>
        <item x="105"/>
        <item x="50"/>
        <item x="44"/>
        <item x="92"/>
        <item x="8"/>
        <item x="25"/>
        <item x="45"/>
        <item x="79"/>
        <item x="70"/>
        <item x="36"/>
        <item x="90"/>
        <item x="10"/>
        <item x="63"/>
        <item x="39"/>
        <item x="104"/>
        <item x="106"/>
        <item x="3"/>
        <item x="1"/>
        <item x="98"/>
        <item x="94"/>
        <item x="30"/>
        <item x="81"/>
        <item x="11"/>
        <item x="13"/>
        <item x="118"/>
        <item x="115"/>
        <item x="119"/>
        <item x="116"/>
        <item x="41"/>
        <item x="117"/>
        <item x="163"/>
        <item x="173"/>
        <item x="134"/>
        <item x="202"/>
        <item x="139"/>
        <item x="205"/>
        <item x="189"/>
        <item x="124"/>
        <item x="203"/>
        <item x="207"/>
        <item x="223"/>
        <item x="171"/>
        <item x="233"/>
        <item x="217"/>
        <item x="195"/>
        <item x="126"/>
        <item x="144"/>
        <item x="194"/>
        <item x="148"/>
        <item x="185"/>
        <item x="157"/>
        <item x="142"/>
        <item x="228"/>
        <item x="137"/>
        <item x="227"/>
        <item x="138"/>
        <item x="146"/>
        <item x="122"/>
        <item x="208"/>
        <item x="179"/>
        <item x="204"/>
        <item x="125"/>
        <item x="182"/>
        <item x="230"/>
        <item x="120"/>
        <item x="221"/>
        <item x="132"/>
        <item x="152"/>
        <item x="222"/>
        <item x="169"/>
        <item x="209"/>
        <item x="232"/>
        <item x="180"/>
        <item x="149"/>
        <item x="153"/>
        <item x="178"/>
        <item x="135"/>
        <item x="220"/>
        <item x="197"/>
        <item x="186"/>
        <item x="215"/>
        <item x="219"/>
        <item x="177"/>
        <item x="160"/>
        <item x="188"/>
        <item x="211"/>
        <item x="141"/>
        <item x="196"/>
        <item x="213"/>
        <item x="231"/>
        <item x="206"/>
        <item x="129"/>
        <item x="175"/>
        <item x="176"/>
        <item x="167"/>
        <item x="162"/>
        <item x="193"/>
        <item x="143"/>
        <item x="198"/>
        <item x="155"/>
        <item x="166"/>
        <item x="154"/>
        <item x="187"/>
        <item x="127"/>
        <item x="184"/>
        <item x="229"/>
        <item x="200"/>
        <item x="136"/>
        <item x="172"/>
        <item x="147"/>
        <item x="174"/>
        <item x="181"/>
        <item x="192"/>
        <item x="140"/>
        <item x="151"/>
        <item x="191"/>
        <item x="168"/>
        <item x="216"/>
        <item x="158"/>
        <item x="225"/>
        <item x="170"/>
        <item x="164"/>
        <item x="212"/>
        <item x="128"/>
        <item x="145"/>
        <item x="165"/>
        <item x="199"/>
        <item x="190"/>
        <item x="156"/>
        <item x="210"/>
        <item x="130"/>
        <item x="183"/>
        <item x="159"/>
        <item x="224"/>
        <item x="226"/>
        <item x="123"/>
        <item x="121"/>
        <item x="218"/>
        <item x="214"/>
        <item x="150"/>
        <item x="201"/>
        <item x="131"/>
        <item x="133"/>
        <item x="237"/>
        <item x="234"/>
        <item x="238"/>
        <item x="235"/>
        <item x="161"/>
        <item x="236"/>
        <item t="default"/>
      </items>
    </pivotField>
    <pivotField numFmtId="14" showAll="0"/>
    <pivotField dataField="1" showAll="0"/>
    <pivotField showAll="0">
      <items count="3">
        <item x="0"/>
        <item x="1"/>
        <item t="default"/>
      </items>
    </pivotField>
    <pivotField showAll="0">
      <items count="13">
        <item x="2"/>
        <item x="0"/>
        <item x="5"/>
        <item x="3"/>
        <item x="4"/>
        <item x="1"/>
        <item x="8"/>
        <item x="6"/>
        <item x="11"/>
        <item x="9"/>
        <item x="10"/>
        <item x="7"/>
        <item t="default"/>
      </items>
    </pivotField>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5"/>
  </rowFields>
  <rowItems count="4">
    <i>
      <x/>
    </i>
    <i>
      <x v="1"/>
    </i>
    <i>
      <x v="2"/>
    </i>
    <i t="grand">
      <x/>
    </i>
  </rowItems>
  <colItems count="1">
    <i/>
  </colItems>
  <dataFields count="1">
    <dataField name="Average of Actual Days" fld="9"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AB07BCC-E80F-418A-BA63-4F4EE57CECB7}"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S11:BS12" firstHeaderRow="1" firstDataRow="1" firstDataCol="0"/>
  <pivotFields count="17">
    <pivotField dataField="1" showAll="0"/>
    <pivotField showAll="0">
      <items count="6">
        <item x="4"/>
        <item x="0"/>
        <item x="1"/>
        <item x="2"/>
        <item x="3"/>
        <item t="default"/>
      </items>
    </pivotField>
    <pivotField showAll="0"/>
    <pivotField showAll="0">
      <items count="9">
        <item x="3"/>
        <item x="6"/>
        <item x="7"/>
        <item x="0"/>
        <item x="5"/>
        <item x="1"/>
        <item x="4"/>
        <item x="2"/>
        <item t="default"/>
      </items>
    </pivotField>
    <pivotField showAll="0"/>
    <pivotField showAll="0">
      <items count="4">
        <item x="0"/>
        <item x="1"/>
        <item x="2"/>
        <item t="default"/>
      </items>
    </pivotField>
    <pivotField showAll="0"/>
    <pivotField numFmtId="14" showAll="0">
      <items count="240">
        <item x="43"/>
        <item x="53"/>
        <item x="14"/>
        <item x="82"/>
        <item x="19"/>
        <item x="85"/>
        <item x="69"/>
        <item x="4"/>
        <item x="83"/>
        <item x="87"/>
        <item x="103"/>
        <item x="51"/>
        <item x="114"/>
        <item x="97"/>
        <item x="75"/>
        <item x="6"/>
        <item x="24"/>
        <item x="74"/>
        <item x="28"/>
        <item x="65"/>
        <item x="37"/>
        <item x="22"/>
        <item x="109"/>
        <item x="17"/>
        <item x="108"/>
        <item x="18"/>
        <item x="26"/>
        <item x="2"/>
        <item x="88"/>
        <item x="59"/>
        <item x="84"/>
        <item x="5"/>
        <item x="62"/>
        <item x="111"/>
        <item x="0"/>
        <item x="101"/>
        <item x="12"/>
        <item x="32"/>
        <item x="102"/>
        <item x="49"/>
        <item x="89"/>
        <item x="113"/>
        <item x="60"/>
        <item x="29"/>
        <item x="33"/>
        <item x="58"/>
        <item x="15"/>
        <item x="100"/>
        <item x="77"/>
        <item x="66"/>
        <item x="95"/>
        <item x="99"/>
        <item x="57"/>
        <item x="40"/>
        <item x="68"/>
        <item x="91"/>
        <item x="21"/>
        <item x="76"/>
        <item x="93"/>
        <item x="112"/>
        <item x="86"/>
        <item x="107"/>
        <item x="9"/>
        <item x="55"/>
        <item x="56"/>
        <item x="47"/>
        <item x="42"/>
        <item x="73"/>
        <item x="23"/>
        <item x="78"/>
        <item x="35"/>
        <item x="46"/>
        <item x="34"/>
        <item x="67"/>
        <item x="7"/>
        <item x="64"/>
        <item x="110"/>
        <item x="80"/>
        <item x="16"/>
        <item x="52"/>
        <item x="27"/>
        <item x="54"/>
        <item x="61"/>
        <item x="72"/>
        <item x="20"/>
        <item x="31"/>
        <item x="71"/>
        <item x="48"/>
        <item x="96"/>
        <item x="38"/>
        <item x="105"/>
        <item x="50"/>
        <item x="44"/>
        <item x="92"/>
        <item x="8"/>
        <item x="25"/>
        <item x="45"/>
        <item x="79"/>
        <item x="70"/>
        <item x="36"/>
        <item x="90"/>
        <item x="10"/>
        <item x="63"/>
        <item x="39"/>
        <item x="104"/>
        <item x="106"/>
        <item x="3"/>
        <item x="1"/>
        <item x="98"/>
        <item x="94"/>
        <item x="30"/>
        <item x="81"/>
        <item x="11"/>
        <item x="13"/>
        <item x="118"/>
        <item x="115"/>
        <item x="119"/>
        <item x="116"/>
        <item x="41"/>
        <item x="117"/>
        <item x="163"/>
        <item x="173"/>
        <item x="134"/>
        <item x="202"/>
        <item x="139"/>
        <item x="205"/>
        <item x="189"/>
        <item x="124"/>
        <item x="203"/>
        <item x="207"/>
        <item x="223"/>
        <item x="171"/>
        <item x="233"/>
        <item x="217"/>
        <item x="195"/>
        <item x="126"/>
        <item x="144"/>
        <item x="194"/>
        <item x="148"/>
        <item x="185"/>
        <item x="157"/>
        <item x="142"/>
        <item x="228"/>
        <item x="137"/>
        <item x="227"/>
        <item x="138"/>
        <item x="146"/>
        <item x="122"/>
        <item x="208"/>
        <item x="179"/>
        <item x="204"/>
        <item x="125"/>
        <item x="182"/>
        <item x="230"/>
        <item x="120"/>
        <item x="221"/>
        <item x="132"/>
        <item x="152"/>
        <item x="222"/>
        <item x="169"/>
        <item x="209"/>
        <item x="232"/>
        <item x="180"/>
        <item x="149"/>
        <item x="153"/>
        <item x="178"/>
        <item x="135"/>
        <item x="220"/>
        <item x="197"/>
        <item x="186"/>
        <item x="215"/>
        <item x="219"/>
        <item x="177"/>
        <item x="160"/>
        <item x="188"/>
        <item x="211"/>
        <item x="141"/>
        <item x="196"/>
        <item x="213"/>
        <item x="231"/>
        <item x="206"/>
        <item x="129"/>
        <item x="175"/>
        <item x="176"/>
        <item x="167"/>
        <item x="162"/>
        <item x="193"/>
        <item x="143"/>
        <item x="198"/>
        <item x="155"/>
        <item x="166"/>
        <item x="154"/>
        <item x="187"/>
        <item x="127"/>
        <item x="184"/>
        <item x="229"/>
        <item x="200"/>
        <item x="136"/>
        <item x="172"/>
        <item x="147"/>
        <item x="174"/>
        <item x="181"/>
        <item x="192"/>
        <item x="140"/>
        <item x="151"/>
        <item x="191"/>
        <item x="168"/>
        <item x="216"/>
        <item x="158"/>
        <item x="225"/>
        <item x="170"/>
        <item x="164"/>
        <item x="212"/>
        <item x="128"/>
        <item x="145"/>
        <item x="165"/>
        <item x="199"/>
        <item x="190"/>
        <item x="156"/>
        <item x="210"/>
        <item x="130"/>
        <item x="183"/>
        <item x="159"/>
        <item x="224"/>
        <item x="226"/>
        <item x="123"/>
        <item x="121"/>
        <item x="218"/>
        <item x="214"/>
        <item x="150"/>
        <item x="201"/>
        <item x="131"/>
        <item x="133"/>
        <item x="237"/>
        <item x="234"/>
        <item x="238"/>
        <item x="235"/>
        <item x="161"/>
        <item x="236"/>
        <item t="default"/>
      </items>
    </pivotField>
    <pivotField numFmtId="14" showAll="0"/>
    <pivotField showAll="0"/>
    <pivotField showAll="0">
      <items count="3">
        <item x="0"/>
        <item x="1"/>
        <item t="default"/>
      </items>
    </pivotField>
    <pivotField showAll="0">
      <items count="13">
        <item x="2"/>
        <item x="0"/>
        <item x="5"/>
        <item x="3"/>
        <item x="4"/>
        <item x="1"/>
        <item x="8"/>
        <item x="6"/>
        <item x="11"/>
        <item x="9"/>
        <item x="10"/>
        <item x="7"/>
        <item t="default"/>
      </items>
    </pivotField>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Items count="1">
    <i/>
  </rowItems>
  <colItems count="1">
    <i/>
  </colItems>
  <dataFields count="1">
    <dataField name="Count of Ticket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CC0BD15-5F36-45B6-86FB-C130558D25DE}" name="PivotTable16"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3">
  <location ref="N6:O15" firstHeaderRow="1" firstDataRow="1" firstDataCol="1" rowPageCount="1" colPageCount="1"/>
  <pivotFields count="17">
    <pivotField dataField="1" showAll="0"/>
    <pivotField showAll="0">
      <items count="6">
        <item x="4"/>
        <item x="0"/>
        <item x="1"/>
        <item x="2"/>
        <item x="3"/>
        <item t="default"/>
      </items>
    </pivotField>
    <pivotField showAll="0"/>
    <pivotField axis="axisRow" showAll="0" sortType="ascending">
      <items count="9">
        <item x="3"/>
        <item x="6"/>
        <item x="7"/>
        <item x="0"/>
        <item x="5"/>
        <item x="1"/>
        <item x="4"/>
        <item x="2"/>
        <item t="default"/>
      </items>
      <autoSortScope>
        <pivotArea dataOnly="0" outline="0" fieldPosition="0">
          <references count="1">
            <reference field="4294967294" count="1" selected="0">
              <x v="0"/>
            </reference>
          </references>
        </pivotArea>
      </autoSortScope>
    </pivotField>
    <pivotField showAll="0">
      <items count="200">
        <item x="36"/>
        <item x="177"/>
        <item x="105"/>
        <item x="93"/>
        <item x="147"/>
        <item x="72"/>
        <item x="80"/>
        <item x="58"/>
        <item x="96"/>
        <item x="191"/>
        <item x="51"/>
        <item x="43"/>
        <item x="126"/>
        <item x="47"/>
        <item x="2"/>
        <item x="53"/>
        <item x="157"/>
        <item x="164"/>
        <item x="153"/>
        <item x="140"/>
        <item x="185"/>
        <item x="144"/>
        <item x="14"/>
        <item x="94"/>
        <item x="67"/>
        <item x="159"/>
        <item x="123"/>
        <item x="130"/>
        <item x="112"/>
        <item x="154"/>
        <item x="174"/>
        <item x="136"/>
        <item x="88"/>
        <item x="66"/>
        <item x="101"/>
        <item x="119"/>
        <item x="3"/>
        <item x="55"/>
        <item x="83"/>
        <item x="155"/>
        <item x="49"/>
        <item x="179"/>
        <item x="183"/>
        <item x="26"/>
        <item x="116"/>
        <item x="125"/>
        <item x="194"/>
        <item x="99"/>
        <item x="113"/>
        <item x="111"/>
        <item x="41"/>
        <item x="32"/>
        <item x="18"/>
        <item x="196"/>
        <item x="115"/>
        <item x="187"/>
        <item x="173"/>
        <item x="63"/>
        <item x="44"/>
        <item x="34"/>
        <item x="23"/>
        <item x="102"/>
        <item x="122"/>
        <item x="42"/>
        <item x="175"/>
        <item x="128"/>
        <item x="146"/>
        <item x="8"/>
        <item x="169"/>
        <item x="124"/>
        <item x="139"/>
        <item x="17"/>
        <item x="69"/>
        <item x="11"/>
        <item x="148"/>
        <item x="35"/>
        <item x="131"/>
        <item x="160"/>
        <item x="162"/>
        <item x="79"/>
        <item x="5"/>
        <item x="133"/>
        <item x="198"/>
        <item x="39"/>
        <item x="195"/>
        <item x="27"/>
        <item x="156"/>
        <item x="64"/>
        <item x="186"/>
        <item x="30"/>
        <item x="184"/>
        <item x="20"/>
        <item x="59"/>
        <item x="54"/>
        <item x="95"/>
        <item x="150"/>
        <item x="31"/>
        <item x="16"/>
        <item x="40"/>
        <item x="97"/>
        <item x="15"/>
        <item x="120"/>
        <item x="65"/>
        <item x="180"/>
        <item x="38"/>
        <item x="28"/>
        <item x="57"/>
        <item x="89"/>
        <item x="24"/>
        <item x="151"/>
        <item x="118"/>
        <item x="74"/>
        <item x="71"/>
        <item x="77"/>
        <item x="135"/>
        <item x="143"/>
        <item x="84"/>
        <item x="86"/>
        <item x="110"/>
        <item x="138"/>
        <item x="68"/>
        <item x="158"/>
        <item x="13"/>
        <item x="141"/>
        <item x="91"/>
        <item x="56"/>
        <item x="145"/>
        <item x="108"/>
        <item x="181"/>
        <item x="61"/>
        <item x="85"/>
        <item x="75"/>
        <item x="81"/>
        <item x="0"/>
        <item x="166"/>
        <item x="50"/>
        <item x="170"/>
        <item x="21"/>
        <item x="22"/>
        <item x="172"/>
        <item x="161"/>
        <item x="25"/>
        <item x="197"/>
        <item x="78"/>
        <item x="137"/>
        <item x="98"/>
        <item x="60"/>
        <item x="193"/>
        <item x="9"/>
        <item x="12"/>
        <item x="100"/>
        <item x="190"/>
        <item x="70"/>
        <item x="107"/>
        <item x="134"/>
        <item x="62"/>
        <item x="82"/>
        <item x="132"/>
        <item x="142"/>
        <item x="168"/>
        <item x="167"/>
        <item x="6"/>
        <item x="149"/>
        <item x="92"/>
        <item x="114"/>
        <item x="76"/>
        <item x="45"/>
        <item x="10"/>
        <item x="7"/>
        <item x="176"/>
        <item x="127"/>
        <item x="104"/>
        <item x="106"/>
        <item x="192"/>
        <item x="4"/>
        <item x="189"/>
        <item x="103"/>
        <item x="19"/>
        <item x="90"/>
        <item x="178"/>
        <item x="46"/>
        <item x="37"/>
        <item x="29"/>
        <item x="48"/>
        <item x="1"/>
        <item x="171"/>
        <item x="52"/>
        <item x="129"/>
        <item x="33"/>
        <item x="117"/>
        <item x="165"/>
        <item x="163"/>
        <item x="182"/>
        <item x="73"/>
        <item x="87"/>
        <item x="121"/>
        <item x="152"/>
        <item x="109"/>
        <item x="188"/>
        <item t="default"/>
      </items>
    </pivotField>
    <pivotField showAll="0">
      <items count="4">
        <item x="0"/>
        <item x="1"/>
        <item x="2"/>
        <item t="default"/>
      </items>
    </pivotField>
    <pivotField showAll="0"/>
    <pivotField numFmtId="14" showAll="0">
      <items count="240">
        <item x="43"/>
        <item x="53"/>
        <item x="14"/>
        <item x="82"/>
        <item x="19"/>
        <item x="85"/>
        <item x="69"/>
        <item x="4"/>
        <item x="83"/>
        <item x="87"/>
        <item x="103"/>
        <item x="51"/>
        <item x="114"/>
        <item x="97"/>
        <item x="75"/>
        <item x="6"/>
        <item x="24"/>
        <item x="74"/>
        <item x="28"/>
        <item x="65"/>
        <item x="37"/>
        <item x="22"/>
        <item x="109"/>
        <item x="17"/>
        <item x="108"/>
        <item x="18"/>
        <item x="26"/>
        <item x="2"/>
        <item x="88"/>
        <item x="59"/>
        <item x="84"/>
        <item x="5"/>
        <item x="62"/>
        <item x="111"/>
        <item x="0"/>
        <item x="101"/>
        <item x="12"/>
        <item x="32"/>
        <item x="102"/>
        <item x="49"/>
        <item x="89"/>
        <item x="113"/>
        <item x="60"/>
        <item x="29"/>
        <item x="33"/>
        <item x="58"/>
        <item x="15"/>
        <item x="100"/>
        <item x="77"/>
        <item x="66"/>
        <item x="95"/>
        <item x="99"/>
        <item x="57"/>
        <item x="40"/>
        <item x="68"/>
        <item x="91"/>
        <item x="21"/>
        <item x="76"/>
        <item x="93"/>
        <item x="112"/>
        <item x="86"/>
        <item x="107"/>
        <item x="9"/>
        <item x="55"/>
        <item x="56"/>
        <item x="47"/>
        <item x="42"/>
        <item x="73"/>
        <item x="23"/>
        <item x="78"/>
        <item x="35"/>
        <item x="46"/>
        <item x="34"/>
        <item x="67"/>
        <item x="7"/>
        <item x="64"/>
        <item x="110"/>
        <item x="80"/>
        <item x="16"/>
        <item x="52"/>
        <item x="27"/>
        <item x="54"/>
        <item x="61"/>
        <item x="72"/>
        <item x="20"/>
        <item x="31"/>
        <item x="71"/>
        <item x="48"/>
        <item x="96"/>
        <item x="38"/>
        <item x="105"/>
        <item x="50"/>
        <item x="44"/>
        <item x="92"/>
        <item x="8"/>
        <item x="25"/>
        <item x="45"/>
        <item x="79"/>
        <item x="70"/>
        <item x="36"/>
        <item x="90"/>
        <item x="10"/>
        <item x="63"/>
        <item x="39"/>
        <item x="104"/>
        <item x="106"/>
        <item x="3"/>
        <item x="1"/>
        <item x="98"/>
        <item x="94"/>
        <item x="30"/>
        <item x="81"/>
        <item x="11"/>
        <item x="13"/>
        <item x="118"/>
        <item x="115"/>
        <item x="119"/>
        <item x="116"/>
        <item x="41"/>
        <item x="117"/>
        <item x="163"/>
        <item x="173"/>
        <item x="134"/>
        <item x="202"/>
        <item x="139"/>
        <item x="205"/>
        <item x="189"/>
        <item x="124"/>
        <item x="203"/>
        <item x="207"/>
        <item x="223"/>
        <item x="171"/>
        <item x="233"/>
        <item x="217"/>
        <item x="195"/>
        <item x="126"/>
        <item x="144"/>
        <item x="194"/>
        <item x="148"/>
        <item x="185"/>
        <item x="157"/>
        <item x="142"/>
        <item x="228"/>
        <item x="137"/>
        <item x="227"/>
        <item x="138"/>
        <item x="146"/>
        <item x="122"/>
        <item x="208"/>
        <item x="179"/>
        <item x="204"/>
        <item x="125"/>
        <item x="182"/>
        <item x="230"/>
        <item x="120"/>
        <item x="221"/>
        <item x="132"/>
        <item x="152"/>
        <item x="222"/>
        <item x="169"/>
        <item x="209"/>
        <item x="232"/>
        <item x="180"/>
        <item x="149"/>
        <item x="153"/>
        <item x="178"/>
        <item x="135"/>
        <item x="220"/>
        <item x="197"/>
        <item x="186"/>
        <item x="215"/>
        <item x="219"/>
        <item x="177"/>
        <item x="160"/>
        <item x="188"/>
        <item x="211"/>
        <item x="141"/>
        <item x="196"/>
        <item x="213"/>
        <item x="231"/>
        <item x="206"/>
        <item x="129"/>
        <item x="175"/>
        <item x="176"/>
        <item x="167"/>
        <item x="162"/>
        <item x="193"/>
        <item x="143"/>
        <item x="198"/>
        <item x="155"/>
        <item x="166"/>
        <item x="154"/>
        <item x="187"/>
        <item x="127"/>
        <item x="184"/>
        <item x="229"/>
        <item x="200"/>
        <item x="136"/>
        <item x="172"/>
        <item x="147"/>
        <item x="174"/>
        <item x="181"/>
        <item x="192"/>
        <item x="140"/>
        <item x="151"/>
        <item x="191"/>
        <item x="168"/>
        <item x="216"/>
        <item x="158"/>
        <item x="225"/>
        <item x="170"/>
        <item x="164"/>
        <item x="212"/>
        <item x="128"/>
        <item x="145"/>
        <item x="165"/>
        <item x="199"/>
        <item x="190"/>
        <item x="156"/>
        <item x="210"/>
        <item x="130"/>
        <item x="183"/>
        <item x="159"/>
        <item x="224"/>
        <item x="226"/>
        <item x="123"/>
        <item x="121"/>
        <item x="218"/>
        <item x="214"/>
        <item x="150"/>
        <item x="201"/>
        <item x="131"/>
        <item x="133"/>
        <item x="237"/>
        <item x="234"/>
        <item x="238"/>
        <item x="235"/>
        <item x="161"/>
        <item x="236"/>
        <item t="default"/>
      </items>
    </pivotField>
    <pivotField numFmtId="14" showAll="0"/>
    <pivotField showAll="0"/>
    <pivotField axis="axisPage" multipleItemSelectionAllowed="1" showAll="0">
      <items count="3">
        <item h="1" x="0"/>
        <item x="1"/>
        <item t="default"/>
      </items>
    </pivotField>
    <pivotField showAll="0">
      <items count="13">
        <item x="2"/>
        <item x="0"/>
        <item x="5"/>
        <item x="3"/>
        <item x="4"/>
        <item x="1"/>
        <item x="8"/>
        <item x="6"/>
        <item x="11"/>
        <item x="9"/>
        <item x="10"/>
        <item x="7"/>
        <item t="default"/>
      </items>
    </pivotField>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3"/>
  </rowFields>
  <rowItems count="9">
    <i>
      <x v="4"/>
    </i>
    <i>
      <x v="1"/>
    </i>
    <i>
      <x v="2"/>
    </i>
    <i>
      <x v="6"/>
    </i>
    <i>
      <x v="5"/>
    </i>
    <i>
      <x v="3"/>
    </i>
    <i>
      <x v="7"/>
    </i>
    <i>
      <x/>
    </i>
    <i t="grand">
      <x/>
    </i>
  </rowItems>
  <colItems count="1">
    <i/>
  </colItems>
  <pageFields count="1">
    <pageField fld="10" hier="-1"/>
  </pageFields>
  <dataFields count="1">
    <dataField name="Count of Ticket ID" fld="0" subtotal="count" baseField="0" baseItem="0"/>
  </dataFields>
  <chartFormats count="3">
    <chartFormat chart="8"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2" format="3">
      <pivotArea type="data" outline="0" fieldPosition="0">
        <references count="2">
          <reference field="4294967294" count="1" selected="0">
            <x v="0"/>
          </reference>
          <reference field="3"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061B980-3290-4938-9874-057DA5A8B825}" name="PivotTable17"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8">
  <location ref="Q6:T14" firstHeaderRow="1" firstDataRow="2" firstDataCol="1"/>
  <pivotFields count="17">
    <pivotField dataField="1" showAll="0"/>
    <pivotField showAll="0">
      <items count="6">
        <item x="4"/>
        <item x="0"/>
        <item x="1"/>
        <item x="2"/>
        <item x="3"/>
        <item t="default"/>
      </items>
    </pivotField>
    <pivotField showAll="0"/>
    <pivotField showAll="0">
      <items count="9">
        <item x="3"/>
        <item x="6"/>
        <item x="7"/>
        <item x="0"/>
        <item x="5"/>
        <item x="1"/>
        <item x="4"/>
        <item x="2"/>
        <item t="default"/>
      </items>
    </pivotField>
    <pivotField showAll="0">
      <items count="200">
        <item x="36"/>
        <item x="177"/>
        <item x="105"/>
        <item x="93"/>
        <item x="147"/>
        <item x="72"/>
        <item x="80"/>
        <item x="58"/>
        <item x="96"/>
        <item x="191"/>
        <item x="51"/>
        <item x="43"/>
        <item x="126"/>
        <item x="47"/>
        <item x="2"/>
        <item x="53"/>
        <item x="157"/>
        <item x="164"/>
        <item x="153"/>
        <item x="140"/>
        <item x="185"/>
        <item x="144"/>
        <item x="14"/>
        <item x="94"/>
        <item x="67"/>
        <item x="159"/>
        <item x="123"/>
        <item x="130"/>
        <item x="112"/>
        <item x="154"/>
        <item x="174"/>
        <item x="136"/>
        <item x="88"/>
        <item x="66"/>
        <item x="101"/>
        <item x="119"/>
        <item x="3"/>
        <item x="55"/>
        <item x="83"/>
        <item x="155"/>
        <item x="49"/>
        <item x="179"/>
        <item x="183"/>
        <item x="26"/>
        <item x="116"/>
        <item x="125"/>
        <item x="194"/>
        <item x="99"/>
        <item x="113"/>
        <item x="111"/>
        <item x="41"/>
        <item x="32"/>
        <item x="18"/>
        <item x="196"/>
        <item x="115"/>
        <item x="187"/>
        <item x="173"/>
        <item x="63"/>
        <item x="44"/>
        <item x="34"/>
        <item x="23"/>
        <item x="102"/>
        <item x="122"/>
        <item x="42"/>
        <item x="175"/>
        <item x="128"/>
        <item x="146"/>
        <item x="8"/>
        <item x="169"/>
        <item x="124"/>
        <item x="139"/>
        <item x="17"/>
        <item x="69"/>
        <item x="11"/>
        <item x="148"/>
        <item x="35"/>
        <item x="131"/>
        <item x="160"/>
        <item x="162"/>
        <item x="79"/>
        <item x="5"/>
        <item x="133"/>
        <item x="198"/>
        <item x="39"/>
        <item x="195"/>
        <item x="27"/>
        <item x="156"/>
        <item x="64"/>
        <item x="186"/>
        <item x="30"/>
        <item x="184"/>
        <item x="20"/>
        <item x="59"/>
        <item x="54"/>
        <item x="95"/>
        <item x="150"/>
        <item x="31"/>
        <item x="16"/>
        <item x="40"/>
        <item x="97"/>
        <item x="15"/>
        <item x="120"/>
        <item x="65"/>
        <item x="180"/>
        <item x="38"/>
        <item x="28"/>
        <item x="57"/>
        <item x="89"/>
        <item x="24"/>
        <item x="151"/>
        <item x="118"/>
        <item x="74"/>
        <item x="71"/>
        <item x="77"/>
        <item x="135"/>
        <item x="143"/>
        <item x="84"/>
        <item x="86"/>
        <item x="110"/>
        <item x="138"/>
        <item x="68"/>
        <item x="158"/>
        <item x="13"/>
        <item x="141"/>
        <item x="91"/>
        <item x="56"/>
        <item x="145"/>
        <item x="108"/>
        <item x="181"/>
        <item x="61"/>
        <item x="85"/>
        <item x="75"/>
        <item x="81"/>
        <item x="0"/>
        <item x="166"/>
        <item x="50"/>
        <item x="170"/>
        <item x="21"/>
        <item x="22"/>
        <item x="172"/>
        <item x="161"/>
        <item x="25"/>
        <item x="197"/>
        <item x="78"/>
        <item x="137"/>
        <item x="98"/>
        <item x="60"/>
        <item x="193"/>
        <item x="9"/>
        <item x="12"/>
        <item x="100"/>
        <item x="190"/>
        <item x="70"/>
        <item x="107"/>
        <item x="134"/>
        <item x="62"/>
        <item x="82"/>
        <item x="132"/>
        <item x="142"/>
        <item x="168"/>
        <item x="167"/>
        <item x="6"/>
        <item x="149"/>
        <item x="92"/>
        <item x="114"/>
        <item x="76"/>
        <item x="45"/>
        <item x="10"/>
        <item x="7"/>
        <item x="176"/>
        <item x="127"/>
        <item x="104"/>
        <item x="106"/>
        <item x="192"/>
        <item x="4"/>
        <item x="189"/>
        <item x="103"/>
        <item x="19"/>
        <item x="90"/>
        <item x="178"/>
        <item x="46"/>
        <item x="37"/>
        <item x="29"/>
        <item x="48"/>
        <item x="1"/>
        <item x="171"/>
        <item x="52"/>
        <item x="129"/>
        <item x="33"/>
        <item x="117"/>
        <item x="165"/>
        <item x="163"/>
        <item x="182"/>
        <item x="73"/>
        <item x="87"/>
        <item x="121"/>
        <item x="152"/>
        <item x="109"/>
        <item x="188"/>
        <item t="default"/>
      </items>
    </pivotField>
    <pivotField showAll="0">
      <items count="4">
        <item x="0"/>
        <item x="1"/>
        <item x="2"/>
        <item t="default"/>
      </items>
    </pivotField>
    <pivotField axis="axisRow" showAll="0">
      <items count="7">
        <item x="1"/>
        <item x="5"/>
        <item x="3"/>
        <item x="2"/>
        <item x="0"/>
        <item x="4"/>
        <item t="default"/>
      </items>
    </pivotField>
    <pivotField numFmtId="14" showAll="0">
      <items count="240">
        <item x="43"/>
        <item x="53"/>
        <item x="14"/>
        <item x="82"/>
        <item x="19"/>
        <item x="85"/>
        <item x="69"/>
        <item x="4"/>
        <item x="83"/>
        <item x="87"/>
        <item x="103"/>
        <item x="51"/>
        <item x="114"/>
        <item x="97"/>
        <item x="75"/>
        <item x="6"/>
        <item x="24"/>
        <item x="74"/>
        <item x="28"/>
        <item x="65"/>
        <item x="37"/>
        <item x="22"/>
        <item x="109"/>
        <item x="17"/>
        <item x="108"/>
        <item x="18"/>
        <item x="26"/>
        <item x="2"/>
        <item x="88"/>
        <item x="59"/>
        <item x="84"/>
        <item x="5"/>
        <item x="62"/>
        <item x="111"/>
        <item x="0"/>
        <item x="101"/>
        <item x="12"/>
        <item x="32"/>
        <item x="102"/>
        <item x="49"/>
        <item x="89"/>
        <item x="113"/>
        <item x="60"/>
        <item x="29"/>
        <item x="33"/>
        <item x="58"/>
        <item x="15"/>
        <item x="100"/>
        <item x="77"/>
        <item x="66"/>
        <item x="95"/>
        <item x="99"/>
        <item x="57"/>
        <item x="40"/>
        <item x="68"/>
        <item x="91"/>
        <item x="21"/>
        <item x="76"/>
        <item x="93"/>
        <item x="112"/>
        <item x="86"/>
        <item x="107"/>
        <item x="9"/>
        <item x="55"/>
        <item x="56"/>
        <item x="47"/>
        <item x="42"/>
        <item x="73"/>
        <item x="23"/>
        <item x="78"/>
        <item x="35"/>
        <item x="46"/>
        <item x="34"/>
        <item x="67"/>
        <item x="7"/>
        <item x="64"/>
        <item x="110"/>
        <item x="80"/>
        <item x="16"/>
        <item x="52"/>
        <item x="27"/>
        <item x="54"/>
        <item x="61"/>
        <item x="72"/>
        <item x="20"/>
        <item x="31"/>
        <item x="71"/>
        <item x="48"/>
        <item x="96"/>
        <item x="38"/>
        <item x="105"/>
        <item x="50"/>
        <item x="44"/>
        <item x="92"/>
        <item x="8"/>
        <item x="25"/>
        <item x="45"/>
        <item x="79"/>
        <item x="70"/>
        <item x="36"/>
        <item x="90"/>
        <item x="10"/>
        <item x="63"/>
        <item x="39"/>
        <item x="104"/>
        <item x="106"/>
        <item x="3"/>
        <item x="1"/>
        <item x="98"/>
        <item x="94"/>
        <item x="30"/>
        <item x="81"/>
        <item x="11"/>
        <item x="13"/>
        <item x="118"/>
        <item x="115"/>
        <item x="119"/>
        <item x="116"/>
        <item x="41"/>
        <item x="117"/>
        <item x="163"/>
        <item x="173"/>
        <item x="134"/>
        <item x="202"/>
        <item x="139"/>
        <item x="205"/>
        <item x="189"/>
        <item x="124"/>
        <item x="203"/>
        <item x="207"/>
        <item x="223"/>
        <item x="171"/>
        <item x="233"/>
        <item x="217"/>
        <item x="195"/>
        <item x="126"/>
        <item x="144"/>
        <item x="194"/>
        <item x="148"/>
        <item x="185"/>
        <item x="157"/>
        <item x="142"/>
        <item x="228"/>
        <item x="137"/>
        <item x="227"/>
        <item x="138"/>
        <item x="146"/>
        <item x="122"/>
        <item x="208"/>
        <item x="179"/>
        <item x="204"/>
        <item x="125"/>
        <item x="182"/>
        <item x="230"/>
        <item x="120"/>
        <item x="221"/>
        <item x="132"/>
        <item x="152"/>
        <item x="222"/>
        <item x="169"/>
        <item x="209"/>
        <item x="232"/>
        <item x="180"/>
        <item x="149"/>
        <item x="153"/>
        <item x="178"/>
        <item x="135"/>
        <item x="220"/>
        <item x="197"/>
        <item x="186"/>
        <item x="215"/>
        <item x="219"/>
        <item x="177"/>
        <item x="160"/>
        <item x="188"/>
        <item x="211"/>
        <item x="141"/>
        <item x="196"/>
        <item x="213"/>
        <item x="231"/>
        <item x="206"/>
        <item x="129"/>
        <item x="175"/>
        <item x="176"/>
        <item x="167"/>
        <item x="162"/>
        <item x="193"/>
        <item x="143"/>
        <item x="198"/>
        <item x="155"/>
        <item x="166"/>
        <item x="154"/>
        <item x="187"/>
        <item x="127"/>
        <item x="184"/>
        <item x="229"/>
        <item x="200"/>
        <item x="136"/>
        <item x="172"/>
        <item x="147"/>
        <item x="174"/>
        <item x="181"/>
        <item x="192"/>
        <item x="140"/>
        <item x="151"/>
        <item x="191"/>
        <item x="168"/>
        <item x="216"/>
        <item x="158"/>
        <item x="225"/>
        <item x="170"/>
        <item x="164"/>
        <item x="212"/>
        <item x="128"/>
        <item x="145"/>
        <item x="165"/>
        <item x="199"/>
        <item x="190"/>
        <item x="156"/>
        <item x="210"/>
        <item x="130"/>
        <item x="183"/>
        <item x="159"/>
        <item x="224"/>
        <item x="226"/>
        <item x="123"/>
        <item x="121"/>
        <item x="218"/>
        <item x="214"/>
        <item x="150"/>
        <item x="201"/>
        <item x="131"/>
        <item x="133"/>
        <item x="237"/>
        <item x="234"/>
        <item x="238"/>
        <item x="235"/>
        <item x="161"/>
        <item x="236"/>
        <item t="default"/>
      </items>
    </pivotField>
    <pivotField numFmtId="14" showAll="0"/>
    <pivotField showAll="0"/>
    <pivotField axis="axisCol" multipleItemSelectionAllowed="1" showAll="0">
      <items count="3">
        <item x="0"/>
        <item x="1"/>
        <item t="default"/>
      </items>
    </pivotField>
    <pivotField showAll="0">
      <items count="13">
        <item x="2"/>
        <item x="0"/>
        <item x="5"/>
        <item x="3"/>
        <item x="4"/>
        <item x="1"/>
        <item x="8"/>
        <item x="6"/>
        <item x="11"/>
        <item x="9"/>
        <item x="10"/>
        <item x="7"/>
        <item t="default"/>
      </items>
    </pivotField>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6"/>
  </rowFields>
  <rowItems count="7">
    <i>
      <x/>
    </i>
    <i>
      <x v="1"/>
    </i>
    <i>
      <x v="2"/>
    </i>
    <i>
      <x v="3"/>
    </i>
    <i>
      <x v="4"/>
    </i>
    <i>
      <x v="5"/>
    </i>
    <i t="grand">
      <x/>
    </i>
  </rowItems>
  <colFields count="1">
    <field x="10"/>
  </colFields>
  <colItems count="3">
    <i>
      <x/>
    </i>
    <i>
      <x v="1"/>
    </i>
    <i t="grand">
      <x/>
    </i>
  </colItems>
  <dataFields count="1">
    <dataField name="Count of Ticket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B89709F-4AE3-4E05-A0B8-A56359BAD0BE}" name="PivotTable19"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8">
  <location ref="AB6:AC10" firstHeaderRow="1" firstDataRow="1" firstDataCol="1" rowPageCount="1" colPageCount="1"/>
  <pivotFields count="17">
    <pivotField dataField="1" showAll="0"/>
    <pivotField showAll="0">
      <items count="6">
        <item x="4"/>
        <item x="0"/>
        <item x="1"/>
        <item x="2"/>
        <item x="3"/>
        <item t="default"/>
      </items>
    </pivotField>
    <pivotField showAll="0"/>
    <pivotField showAll="0">
      <items count="9">
        <item x="3"/>
        <item x="6"/>
        <item x="7"/>
        <item x="0"/>
        <item x="5"/>
        <item x="1"/>
        <item x="4"/>
        <item x="2"/>
        <item t="default"/>
      </items>
    </pivotField>
    <pivotField showAll="0">
      <items count="200">
        <item x="36"/>
        <item x="177"/>
        <item x="105"/>
        <item x="93"/>
        <item x="147"/>
        <item x="72"/>
        <item x="80"/>
        <item x="58"/>
        <item x="96"/>
        <item x="191"/>
        <item x="51"/>
        <item x="43"/>
        <item x="126"/>
        <item x="47"/>
        <item x="2"/>
        <item x="53"/>
        <item x="157"/>
        <item x="164"/>
        <item x="153"/>
        <item x="140"/>
        <item x="185"/>
        <item x="144"/>
        <item x="14"/>
        <item x="94"/>
        <item x="67"/>
        <item x="159"/>
        <item x="123"/>
        <item x="130"/>
        <item x="112"/>
        <item x="154"/>
        <item x="174"/>
        <item x="136"/>
        <item x="88"/>
        <item x="66"/>
        <item x="101"/>
        <item x="119"/>
        <item x="3"/>
        <item x="55"/>
        <item x="83"/>
        <item x="155"/>
        <item x="49"/>
        <item x="179"/>
        <item x="183"/>
        <item x="26"/>
        <item x="116"/>
        <item x="125"/>
        <item x="194"/>
        <item x="99"/>
        <item x="113"/>
        <item x="111"/>
        <item x="41"/>
        <item x="32"/>
        <item x="18"/>
        <item x="196"/>
        <item x="115"/>
        <item x="187"/>
        <item x="173"/>
        <item x="63"/>
        <item x="44"/>
        <item x="34"/>
        <item x="23"/>
        <item x="102"/>
        <item x="122"/>
        <item x="42"/>
        <item x="175"/>
        <item x="128"/>
        <item x="146"/>
        <item x="8"/>
        <item x="169"/>
        <item x="124"/>
        <item x="139"/>
        <item x="17"/>
        <item x="69"/>
        <item x="11"/>
        <item x="148"/>
        <item x="35"/>
        <item x="131"/>
        <item x="160"/>
        <item x="162"/>
        <item x="79"/>
        <item x="5"/>
        <item x="133"/>
        <item x="198"/>
        <item x="39"/>
        <item x="195"/>
        <item x="27"/>
        <item x="156"/>
        <item x="64"/>
        <item x="186"/>
        <item x="30"/>
        <item x="184"/>
        <item x="20"/>
        <item x="59"/>
        <item x="54"/>
        <item x="95"/>
        <item x="150"/>
        <item x="31"/>
        <item x="16"/>
        <item x="40"/>
        <item x="97"/>
        <item x="15"/>
        <item x="120"/>
        <item x="65"/>
        <item x="180"/>
        <item x="38"/>
        <item x="28"/>
        <item x="57"/>
        <item x="89"/>
        <item x="24"/>
        <item x="151"/>
        <item x="118"/>
        <item x="74"/>
        <item x="71"/>
        <item x="77"/>
        <item x="135"/>
        <item x="143"/>
        <item x="84"/>
        <item x="86"/>
        <item x="110"/>
        <item x="138"/>
        <item x="68"/>
        <item x="158"/>
        <item x="13"/>
        <item x="141"/>
        <item x="91"/>
        <item x="56"/>
        <item x="145"/>
        <item x="108"/>
        <item x="181"/>
        <item x="61"/>
        <item x="85"/>
        <item x="75"/>
        <item x="81"/>
        <item x="0"/>
        <item x="166"/>
        <item x="50"/>
        <item x="170"/>
        <item x="21"/>
        <item x="22"/>
        <item x="172"/>
        <item x="161"/>
        <item x="25"/>
        <item x="197"/>
        <item x="78"/>
        <item x="137"/>
        <item x="98"/>
        <item x="60"/>
        <item x="193"/>
        <item x="9"/>
        <item x="12"/>
        <item x="100"/>
        <item x="190"/>
        <item x="70"/>
        <item x="107"/>
        <item x="134"/>
        <item x="62"/>
        <item x="82"/>
        <item x="132"/>
        <item x="142"/>
        <item x="168"/>
        <item x="167"/>
        <item x="6"/>
        <item x="149"/>
        <item x="92"/>
        <item x="114"/>
        <item x="76"/>
        <item x="45"/>
        <item x="10"/>
        <item x="7"/>
        <item x="176"/>
        <item x="127"/>
        <item x="104"/>
        <item x="106"/>
        <item x="192"/>
        <item x="4"/>
        <item x="189"/>
        <item x="103"/>
        <item x="19"/>
        <item x="90"/>
        <item x="178"/>
        <item x="46"/>
        <item x="37"/>
        <item x="29"/>
        <item x="48"/>
        <item x="1"/>
        <item x="171"/>
        <item x="52"/>
        <item x="129"/>
        <item x="33"/>
        <item x="117"/>
        <item x="165"/>
        <item x="163"/>
        <item x="182"/>
        <item x="73"/>
        <item x="87"/>
        <item x="121"/>
        <item x="152"/>
        <item x="109"/>
        <item x="188"/>
        <item t="default"/>
      </items>
    </pivotField>
    <pivotField axis="axisRow" showAll="0">
      <items count="4">
        <item x="0"/>
        <item x="1"/>
        <item x="2"/>
        <item t="default"/>
      </items>
    </pivotField>
    <pivotField showAll="0"/>
    <pivotField numFmtId="14" showAll="0">
      <items count="240">
        <item x="43"/>
        <item x="53"/>
        <item x="14"/>
        <item x="82"/>
        <item x="19"/>
        <item x="85"/>
        <item x="69"/>
        <item x="4"/>
        <item x="83"/>
        <item x="87"/>
        <item x="103"/>
        <item x="51"/>
        <item x="114"/>
        <item x="97"/>
        <item x="75"/>
        <item x="6"/>
        <item x="24"/>
        <item x="74"/>
        <item x="28"/>
        <item x="65"/>
        <item x="37"/>
        <item x="22"/>
        <item x="109"/>
        <item x="17"/>
        <item x="108"/>
        <item x="18"/>
        <item x="26"/>
        <item x="2"/>
        <item x="88"/>
        <item x="59"/>
        <item x="84"/>
        <item x="5"/>
        <item x="62"/>
        <item x="111"/>
        <item x="0"/>
        <item x="101"/>
        <item x="12"/>
        <item x="32"/>
        <item x="102"/>
        <item x="49"/>
        <item x="89"/>
        <item x="113"/>
        <item x="60"/>
        <item x="29"/>
        <item x="33"/>
        <item x="58"/>
        <item x="15"/>
        <item x="100"/>
        <item x="77"/>
        <item x="66"/>
        <item x="95"/>
        <item x="99"/>
        <item x="57"/>
        <item x="40"/>
        <item x="68"/>
        <item x="91"/>
        <item x="21"/>
        <item x="76"/>
        <item x="93"/>
        <item x="112"/>
        <item x="86"/>
        <item x="107"/>
        <item x="9"/>
        <item x="55"/>
        <item x="56"/>
        <item x="47"/>
        <item x="42"/>
        <item x="73"/>
        <item x="23"/>
        <item x="78"/>
        <item x="35"/>
        <item x="46"/>
        <item x="34"/>
        <item x="67"/>
        <item x="7"/>
        <item x="64"/>
        <item x="110"/>
        <item x="80"/>
        <item x="16"/>
        <item x="52"/>
        <item x="27"/>
        <item x="54"/>
        <item x="61"/>
        <item x="72"/>
        <item x="20"/>
        <item x="31"/>
        <item x="71"/>
        <item x="48"/>
        <item x="96"/>
        <item x="38"/>
        <item x="105"/>
        <item x="50"/>
        <item x="44"/>
        <item x="92"/>
        <item x="8"/>
        <item x="25"/>
        <item x="45"/>
        <item x="79"/>
        <item x="70"/>
        <item x="36"/>
        <item x="90"/>
        <item x="10"/>
        <item x="63"/>
        <item x="39"/>
        <item x="104"/>
        <item x="106"/>
        <item x="3"/>
        <item x="1"/>
        <item x="98"/>
        <item x="94"/>
        <item x="30"/>
        <item x="81"/>
        <item x="11"/>
        <item x="13"/>
        <item x="118"/>
        <item x="115"/>
        <item x="119"/>
        <item x="116"/>
        <item x="41"/>
        <item x="117"/>
        <item x="163"/>
        <item x="173"/>
        <item x="134"/>
        <item x="202"/>
        <item x="139"/>
        <item x="205"/>
        <item x="189"/>
        <item x="124"/>
        <item x="203"/>
        <item x="207"/>
        <item x="223"/>
        <item x="171"/>
        <item x="233"/>
        <item x="217"/>
        <item x="195"/>
        <item x="126"/>
        <item x="144"/>
        <item x="194"/>
        <item x="148"/>
        <item x="185"/>
        <item x="157"/>
        <item x="142"/>
        <item x="228"/>
        <item x="137"/>
        <item x="227"/>
        <item x="138"/>
        <item x="146"/>
        <item x="122"/>
        <item x="208"/>
        <item x="179"/>
        <item x="204"/>
        <item x="125"/>
        <item x="182"/>
        <item x="230"/>
        <item x="120"/>
        <item x="221"/>
        <item x="132"/>
        <item x="152"/>
        <item x="222"/>
        <item x="169"/>
        <item x="209"/>
        <item x="232"/>
        <item x="180"/>
        <item x="149"/>
        <item x="153"/>
        <item x="178"/>
        <item x="135"/>
        <item x="220"/>
        <item x="197"/>
        <item x="186"/>
        <item x="215"/>
        <item x="219"/>
        <item x="177"/>
        <item x="160"/>
        <item x="188"/>
        <item x="211"/>
        <item x="141"/>
        <item x="196"/>
        <item x="213"/>
        <item x="231"/>
        <item x="206"/>
        <item x="129"/>
        <item x="175"/>
        <item x="176"/>
        <item x="167"/>
        <item x="162"/>
        <item x="193"/>
        <item x="143"/>
        <item x="198"/>
        <item x="155"/>
        <item x="166"/>
        <item x="154"/>
        <item x="187"/>
        <item x="127"/>
        <item x="184"/>
        <item x="229"/>
        <item x="200"/>
        <item x="136"/>
        <item x="172"/>
        <item x="147"/>
        <item x="174"/>
        <item x="181"/>
        <item x="192"/>
        <item x="140"/>
        <item x="151"/>
        <item x="191"/>
        <item x="168"/>
        <item x="216"/>
        <item x="158"/>
        <item x="225"/>
        <item x="170"/>
        <item x="164"/>
        <item x="212"/>
        <item x="128"/>
        <item x="145"/>
        <item x="165"/>
        <item x="199"/>
        <item x="190"/>
        <item x="156"/>
        <item x="210"/>
        <item x="130"/>
        <item x="183"/>
        <item x="159"/>
        <item x="224"/>
        <item x="226"/>
        <item x="123"/>
        <item x="121"/>
        <item x="218"/>
        <item x="214"/>
        <item x="150"/>
        <item x="201"/>
        <item x="131"/>
        <item x="133"/>
        <item x="237"/>
        <item x="234"/>
        <item x="238"/>
        <item x="235"/>
        <item x="161"/>
        <item x="236"/>
        <item t="default"/>
      </items>
    </pivotField>
    <pivotField numFmtId="14" showAll="0"/>
    <pivotField showAll="0"/>
    <pivotField axis="axisPage" multipleItemSelectionAllowed="1" showAll="0">
      <items count="3">
        <item h="1" x="0"/>
        <item x="1"/>
        <item t="default"/>
      </items>
    </pivotField>
    <pivotField showAll="0">
      <items count="13">
        <item x="2"/>
        <item x="0"/>
        <item x="5"/>
        <item x="3"/>
        <item x="4"/>
        <item x="1"/>
        <item x="8"/>
        <item x="6"/>
        <item x="11"/>
        <item x="9"/>
        <item x="10"/>
        <item x="7"/>
        <item t="default"/>
      </items>
    </pivotField>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5"/>
  </rowFields>
  <rowItems count="4">
    <i>
      <x/>
    </i>
    <i>
      <x v="1"/>
    </i>
    <i>
      <x v="2"/>
    </i>
    <i t="grand">
      <x/>
    </i>
  </rowItems>
  <colItems count="1">
    <i/>
  </colItems>
  <pageFields count="1">
    <pageField fld="10" hier="-1"/>
  </pageFields>
  <dataFields count="1">
    <dataField name="Count of Ticket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2748D76-1EFF-4EA0-AF28-111EC070A36F}" name="PivotTable20"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8">
  <location ref="AI6:AJ12" firstHeaderRow="1" firstDataRow="1" firstDataCol="1" rowPageCount="1" colPageCount="1"/>
  <pivotFields count="17">
    <pivotField dataField="1" showAll="0"/>
    <pivotField axis="axisRow" showAll="0">
      <items count="6">
        <item x="4"/>
        <item x="0"/>
        <item x="1"/>
        <item x="2"/>
        <item x="3"/>
        <item t="default"/>
      </items>
    </pivotField>
    <pivotField showAll="0"/>
    <pivotField showAll="0">
      <items count="9">
        <item x="3"/>
        <item x="6"/>
        <item x="7"/>
        <item x="0"/>
        <item x="5"/>
        <item x="1"/>
        <item x="4"/>
        <item x="2"/>
        <item t="default"/>
      </items>
    </pivotField>
    <pivotField showAll="0">
      <items count="200">
        <item x="36"/>
        <item x="177"/>
        <item x="105"/>
        <item x="93"/>
        <item x="147"/>
        <item x="72"/>
        <item x="80"/>
        <item x="58"/>
        <item x="96"/>
        <item x="191"/>
        <item x="51"/>
        <item x="43"/>
        <item x="126"/>
        <item x="47"/>
        <item x="2"/>
        <item x="53"/>
        <item x="157"/>
        <item x="164"/>
        <item x="153"/>
        <item x="140"/>
        <item x="185"/>
        <item x="144"/>
        <item x="14"/>
        <item x="94"/>
        <item x="67"/>
        <item x="159"/>
        <item x="123"/>
        <item x="130"/>
        <item x="112"/>
        <item x="154"/>
        <item x="174"/>
        <item x="136"/>
        <item x="88"/>
        <item x="66"/>
        <item x="101"/>
        <item x="119"/>
        <item x="3"/>
        <item x="55"/>
        <item x="83"/>
        <item x="155"/>
        <item x="49"/>
        <item x="179"/>
        <item x="183"/>
        <item x="26"/>
        <item x="116"/>
        <item x="125"/>
        <item x="194"/>
        <item x="99"/>
        <item x="113"/>
        <item x="111"/>
        <item x="41"/>
        <item x="32"/>
        <item x="18"/>
        <item x="196"/>
        <item x="115"/>
        <item x="187"/>
        <item x="173"/>
        <item x="63"/>
        <item x="44"/>
        <item x="34"/>
        <item x="23"/>
        <item x="102"/>
        <item x="122"/>
        <item x="42"/>
        <item x="175"/>
        <item x="128"/>
        <item x="146"/>
        <item x="8"/>
        <item x="169"/>
        <item x="124"/>
        <item x="139"/>
        <item x="17"/>
        <item x="69"/>
        <item x="11"/>
        <item x="148"/>
        <item x="35"/>
        <item x="131"/>
        <item x="160"/>
        <item x="162"/>
        <item x="79"/>
        <item x="5"/>
        <item x="133"/>
        <item x="198"/>
        <item x="39"/>
        <item x="195"/>
        <item x="27"/>
        <item x="156"/>
        <item x="64"/>
        <item x="186"/>
        <item x="30"/>
        <item x="184"/>
        <item x="20"/>
        <item x="59"/>
        <item x="54"/>
        <item x="95"/>
        <item x="150"/>
        <item x="31"/>
        <item x="16"/>
        <item x="40"/>
        <item x="97"/>
        <item x="15"/>
        <item x="120"/>
        <item x="65"/>
        <item x="180"/>
        <item x="38"/>
        <item x="28"/>
        <item x="57"/>
        <item x="89"/>
        <item x="24"/>
        <item x="151"/>
        <item x="118"/>
        <item x="74"/>
        <item x="71"/>
        <item x="77"/>
        <item x="135"/>
        <item x="143"/>
        <item x="84"/>
        <item x="86"/>
        <item x="110"/>
        <item x="138"/>
        <item x="68"/>
        <item x="158"/>
        <item x="13"/>
        <item x="141"/>
        <item x="91"/>
        <item x="56"/>
        <item x="145"/>
        <item x="108"/>
        <item x="181"/>
        <item x="61"/>
        <item x="85"/>
        <item x="75"/>
        <item x="81"/>
        <item x="0"/>
        <item x="166"/>
        <item x="50"/>
        <item x="170"/>
        <item x="21"/>
        <item x="22"/>
        <item x="172"/>
        <item x="161"/>
        <item x="25"/>
        <item x="197"/>
        <item x="78"/>
        <item x="137"/>
        <item x="98"/>
        <item x="60"/>
        <item x="193"/>
        <item x="9"/>
        <item x="12"/>
        <item x="100"/>
        <item x="190"/>
        <item x="70"/>
        <item x="107"/>
        <item x="134"/>
        <item x="62"/>
        <item x="82"/>
        <item x="132"/>
        <item x="142"/>
        <item x="168"/>
        <item x="167"/>
        <item x="6"/>
        <item x="149"/>
        <item x="92"/>
        <item x="114"/>
        <item x="76"/>
        <item x="45"/>
        <item x="10"/>
        <item x="7"/>
        <item x="176"/>
        <item x="127"/>
        <item x="104"/>
        <item x="106"/>
        <item x="192"/>
        <item x="4"/>
        <item x="189"/>
        <item x="103"/>
        <item x="19"/>
        <item x="90"/>
        <item x="178"/>
        <item x="46"/>
        <item x="37"/>
        <item x="29"/>
        <item x="48"/>
        <item x="1"/>
        <item x="171"/>
        <item x="52"/>
        <item x="129"/>
        <item x="33"/>
        <item x="117"/>
        <item x="165"/>
        <item x="163"/>
        <item x="182"/>
        <item x="73"/>
        <item x="87"/>
        <item x="121"/>
        <item x="152"/>
        <item x="109"/>
        <item x="188"/>
        <item t="default"/>
      </items>
    </pivotField>
    <pivotField showAll="0">
      <items count="4">
        <item x="0"/>
        <item x="1"/>
        <item x="2"/>
        <item t="default"/>
      </items>
    </pivotField>
    <pivotField showAll="0"/>
    <pivotField numFmtId="14" showAll="0">
      <items count="240">
        <item x="43"/>
        <item x="53"/>
        <item x="14"/>
        <item x="82"/>
        <item x="19"/>
        <item x="85"/>
        <item x="69"/>
        <item x="4"/>
        <item x="83"/>
        <item x="87"/>
        <item x="103"/>
        <item x="51"/>
        <item x="114"/>
        <item x="97"/>
        <item x="75"/>
        <item x="6"/>
        <item x="24"/>
        <item x="74"/>
        <item x="28"/>
        <item x="65"/>
        <item x="37"/>
        <item x="22"/>
        <item x="109"/>
        <item x="17"/>
        <item x="108"/>
        <item x="18"/>
        <item x="26"/>
        <item x="2"/>
        <item x="88"/>
        <item x="59"/>
        <item x="84"/>
        <item x="5"/>
        <item x="62"/>
        <item x="111"/>
        <item x="0"/>
        <item x="101"/>
        <item x="12"/>
        <item x="32"/>
        <item x="102"/>
        <item x="49"/>
        <item x="89"/>
        <item x="113"/>
        <item x="60"/>
        <item x="29"/>
        <item x="33"/>
        <item x="58"/>
        <item x="15"/>
        <item x="100"/>
        <item x="77"/>
        <item x="66"/>
        <item x="95"/>
        <item x="99"/>
        <item x="57"/>
        <item x="40"/>
        <item x="68"/>
        <item x="91"/>
        <item x="21"/>
        <item x="76"/>
        <item x="93"/>
        <item x="112"/>
        <item x="86"/>
        <item x="107"/>
        <item x="9"/>
        <item x="55"/>
        <item x="56"/>
        <item x="47"/>
        <item x="42"/>
        <item x="73"/>
        <item x="23"/>
        <item x="78"/>
        <item x="35"/>
        <item x="46"/>
        <item x="34"/>
        <item x="67"/>
        <item x="7"/>
        <item x="64"/>
        <item x="110"/>
        <item x="80"/>
        <item x="16"/>
        <item x="52"/>
        <item x="27"/>
        <item x="54"/>
        <item x="61"/>
        <item x="72"/>
        <item x="20"/>
        <item x="31"/>
        <item x="71"/>
        <item x="48"/>
        <item x="96"/>
        <item x="38"/>
        <item x="105"/>
        <item x="50"/>
        <item x="44"/>
        <item x="92"/>
        <item x="8"/>
        <item x="25"/>
        <item x="45"/>
        <item x="79"/>
        <item x="70"/>
        <item x="36"/>
        <item x="90"/>
        <item x="10"/>
        <item x="63"/>
        <item x="39"/>
        <item x="104"/>
        <item x="106"/>
        <item x="3"/>
        <item x="1"/>
        <item x="98"/>
        <item x="94"/>
        <item x="30"/>
        <item x="81"/>
        <item x="11"/>
        <item x="13"/>
        <item x="118"/>
        <item x="115"/>
        <item x="119"/>
        <item x="116"/>
        <item x="41"/>
        <item x="117"/>
        <item x="163"/>
        <item x="173"/>
        <item x="134"/>
        <item x="202"/>
        <item x="139"/>
        <item x="205"/>
        <item x="189"/>
        <item x="124"/>
        <item x="203"/>
        <item x="207"/>
        <item x="223"/>
        <item x="171"/>
        <item x="233"/>
        <item x="217"/>
        <item x="195"/>
        <item x="126"/>
        <item x="144"/>
        <item x="194"/>
        <item x="148"/>
        <item x="185"/>
        <item x="157"/>
        <item x="142"/>
        <item x="228"/>
        <item x="137"/>
        <item x="227"/>
        <item x="138"/>
        <item x="146"/>
        <item x="122"/>
        <item x="208"/>
        <item x="179"/>
        <item x="204"/>
        <item x="125"/>
        <item x="182"/>
        <item x="230"/>
        <item x="120"/>
        <item x="221"/>
        <item x="132"/>
        <item x="152"/>
        <item x="222"/>
        <item x="169"/>
        <item x="209"/>
        <item x="232"/>
        <item x="180"/>
        <item x="149"/>
        <item x="153"/>
        <item x="178"/>
        <item x="135"/>
        <item x="220"/>
        <item x="197"/>
        <item x="186"/>
        <item x="215"/>
        <item x="219"/>
        <item x="177"/>
        <item x="160"/>
        <item x="188"/>
        <item x="211"/>
        <item x="141"/>
        <item x="196"/>
        <item x="213"/>
        <item x="231"/>
        <item x="206"/>
        <item x="129"/>
        <item x="175"/>
        <item x="176"/>
        <item x="167"/>
        <item x="162"/>
        <item x="193"/>
        <item x="143"/>
        <item x="198"/>
        <item x="155"/>
        <item x="166"/>
        <item x="154"/>
        <item x="187"/>
        <item x="127"/>
        <item x="184"/>
        <item x="229"/>
        <item x="200"/>
        <item x="136"/>
        <item x="172"/>
        <item x="147"/>
        <item x="174"/>
        <item x="181"/>
        <item x="192"/>
        <item x="140"/>
        <item x="151"/>
        <item x="191"/>
        <item x="168"/>
        <item x="216"/>
        <item x="158"/>
        <item x="225"/>
        <item x="170"/>
        <item x="164"/>
        <item x="212"/>
        <item x="128"/>
        <item x="145"/>
        <item x="165"/>
        <item x="199"/>
        <item x="190"/>
        <item x="156"/>
        <item x="210"/>
        <item x="130"/>
        <item x="183"/>
        <item x="159"/>
        <item x="224"/>
        <item x="226"/>
        <item x="123"/>
        <item x="121"/>
        <item x="218"/>
        <item x="214"/>
        <item x="150"/>
        <item x="201"/>
        <item x="131"/>
        <item x="133"/>
        <item x="237"/>
        <item x="234"/>
        <item x="238"/>
        <item x="235"/>
        <item x="161"/>
        <item x="236"/>
        <item t="default"/>
      </items>
    </pivotField>
    <pivotField numFmtId="14" showAll="0"/>
    <pivotField showAll="0"/>
    <pivotField axis="axisPage" multipleItemSelectionAllowed="1" showAll="0">
      <items count="3">
        <item x="0"/>
        <item x="1"/>
        <item t="default"/>
      </items>
    </pivotField>
    <pivotField showAll="0">
      <items count="13">
        <item x="2"/>
        <item x="0"/>
        <item x="5"/>
        <item x="3"/>
        <item x="4"/>
        <item x="1"/>
        <item x="8"/>
        <item x="6"/>
        <item x="11"/>
        <item x="9"/>
        <item x="10"/>
        <item x="7"/>
        <item t="default"/>
      </items>
    </pivotField>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1"/>
  </rowFields>
  <rowItems count="6">
    <i>
      <x/>
    </i>
    <i>
      <x v="1"/>
    </i>
    <i>
      <x v="2"/>
    </i>
    <i>
      <x v="3"/>
    </i>
    <i>
      <x v="4"/>
    </i>
    <i t="grand">
      <x/>
    </i>
  </rowItems>
  <colItems count="1">
    <i/>
  </colItems>
  <pageFields count="1">
    <pageField fld="10" hier="-1"/>
  </pageFields>
  <dataFields count="1">
    <dataField name="Count of Ticket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10F6337-EC52-4347-BABC-D4504085F878}" name="PivotTable3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V6:BW9" firstHeaderRow="1" firstDataRow="1" firstDataCol="1"/>
  <pivotFields count="17">
    <pivotField showAll="0"/>
    <pivotField showAll="0">
      <items count="6">
        <item x="4"/>
        <item x="0"/>
        <item x="1"/>
        <item x="2"/>
        <item x="3"/>
        <item t="default"/>
      </items>
    </pivotField>
    <pivotField showAll="0"/>
    <pivotField showAll="0">
      <items count="9">
        <item x="3"/>
        <item x="6"/>
        <item x="7"/>
        <item x="0"/>
        <item x="5"/>
        <item x="1"/>
        <item x="4"/>
        <item x="2"/>
        <item t="default"/>
      </items>
    </pivotField>
    <pivotField showAll="0"/>
    <pivotField showAll="0">
      <items count="4">
        <item x="0"/>
        <item x="1"/>
        <item x="2"/>
        <item t="default"/>
      </items>
    </pivotField>
    <pivotField showAll="0"/>
    <pivotField numFmtId="14" showAll="0">
      <items count="240">
        <item x="43"/>
        <item x="53"/>
        <item x="14"/>
        <item x="82"/>
        <item x="19"/>
        <item x="85"/>
        <item x="69"/>
        <item x="4"/>
        <item x="83"/>
        <item x="87"/>
        <item x="103"/>
        <item x="51"/>
        <item x="114"/>
        <item x="97"/>
        <item x="75"/>
        <item x="6"/>
        <item x="24"/>
        <item x="74"/>
        <item x="28"/>
        <item x="65"/>
        <item x="37"/>
        <item x="22"/>
        <item x="109"/>
        <item x="17"/>
        <item x="108"/>
        <item x="18"/>
        <item x="26"/>
        <item x="2"/>
        <item x="88"/>
        <item x="59"/>
        <item x="84"/>
        <item x="5"/>
        <item x="62"/>
        <item x="111"/>
        <item x="0"/>
        <item x="101"/>
        <item x="12"/>
        <item x="32"/>
        <item x="102"/>
        <item x="49"/>
        <item x="89"/>
        <item x="113"/>
        <item x="60"/>
        <item x="29"/>
        <item x="33"/>
        <item x="58"/>
        <item x="15"/>
        <item x="100"/>
        <item x="77"/>
        <item x="66"/>
        <item x="95"/>
        <item x="99"/>
        <item x="57"/>
        <item x="40"/>
        <item x="68"/>
        <item x="91"/>
        <item x="21"/>
        <item x="76"/>
        <item x="93"/>
        <item x="112"/>
        <item x="86"/>
        <item x="107"/>
        <item x="9"/>
        <item x="55"/>
        <item x="56"/>
        <item x="47"/>
        <item x="42"/>
        <item x="73"/>
        <item x="23"/>
        <item x="78"/>
        <item x="35"/>
        <item x="46"/>
        <item x="34"/>
        <item x="67"/>
        <item x="7"/>
        <item x="64"/>
        <item x="110"/>
        <item x="80"/>
        <item x="16"/>
        <item x="52"/>
        <item x="27"/>
        <item x="54"/>
        <item x="61"/>
        <item x="72"/>
        <item x="20"/>
        <item x="31"/>
        <item x="71"/>
        <item x="48"/>
        <item x="96"/>
        <item x="38"/>
        <item x="105"/>
        <item x="50"/>
        <item x="44"/>
        <item x="92"/>
        <item x="8"/>
        <item x="25"/>
        <item x="45"/>
        <item x="79"/>
        <item x="70"/>
        <item x="36"/>
        <item x="90"/>
        <item x="10"/>
        <item x="63"/>
        <item x="39"/>
        <item x="104"/>
        <item x="106"/>
        <item x="3"/>
        <item x="1"/>
        <item x="98"/>
        <item x="94"/>
        <item x="30"/>
        <item x="81"/>
        <item x="11"/>
        <item x="13"/>
        <item x="118"/>
        <item x="115"/>
        <item x="119"/>
        <item x="116"/>
        <item x="41"/>
        <item x="117"/>
        <item x="163"/>
        <item x="173"/>
        <item x="134"/>
        <item x="202"/>
        <item x="139"/>
        <item x="205"/>
        <item x="189"/>
        <item x="124"/>
        <item x="203"/>
        <item x="207"/>
        <item x="223"/>
        <item x="171"/>
        <item x="233"/>
        <item x="217"/>
        <item x="195"/>
        <item x="126"/>
        <item x="144"/>
        <item x="194"/>
        <item x="148"/>
        <item x="185"/>
        <item x="157"/>
        <item x="142"/>
        <item x="228"/>
        <item x="137"/>
        <item x="227"/>
        <item x="138"/>
        <item x="146"/>
        <item x="122"/>
        <item x="208"/>
        <item x="179"/>
        <item x="204"/>
        <item x="125"/>
        <item x="182"/>
        <item x="230"/>
        <item x="120"/>
        <item x="221"/>
        <item x="132"/>
        <item x="152"/>
        <item x="222"/>
        <item x="169"/>
        <item x="209"/>
        <item x="232"/>
        <item x="180"/>
        <item x="149"/>
        <item x="153"/>
        <item x="178"/>
        <item x="135"/>
        <item x="220"/>
        <item x="197"/>
        <item x="186"/>
        <item x="215"/>
        <item x="219"/>
        <item x="177"/>
        <item x="160"/>
        <item x="188"/>
        <item x="211"/>
        <item x="141"/>
        <item x="196"/>
        <item x="213"/>
        <item x="231"/>
        <item x="206"/>
        <item x="129"/>
        <item x="175"/>
        <item x="176"/>
        <item x="167"/>
        <item x="162"/>
        <item x="193"/>
        <item x="143"/>
        <item x="198"/>
        <item x="155"/>
        <item x="166"/>
        <item x="154"/>
        <item x="187"/>
        <item x="127"/>
        <item x="184"/>
        <item x="229"/>
        <item x="200"/>
        <item x="136"/>
        <item x="172"/>
        <item x="147"/>
        <item x="174"/>
        <item x="181"/>
        <item x="192"/>
        <item x="140"/>
        <item x="151"/>
        <item x="191"/>
        <item x="168"/>
        <item x="216"/>
        <item x="158"/>
        <item x="225"/>
        <item x="170"/>
        <item x="164"/>
        <item x="212"/>
        <item x="128"/>
        <item x="145"/>
        <item x="165"/>
        <item x="199"/>
        <item x="190"/>
        <item x="156"/>
        <item x="210"/>
        <item x="130"/>
        <item x="183"/>
        <item x="159"/>
        <item x="224"/>
        <item x="226"/>
        <item x="123"/>
        <item x="121"/>
        <item x="218"/>
        <item x="214"/>
        <item x="150"/>
        <item x="201"/>
        <item x="131"/>
        <item x="133"/>
        <item x="237"/>
        <item x="234"/>
        <item x="238"/>
        <item x="235"/>
        <item x="161"/>
        <item x="236"/>
        <item t="default"/>
      </items>
    </pivotField>
    <pivotField numFmtId="14" showAll="0"/>
    <pivotField showAll="0"/>
    <pivotField axis="axisRow" dataField="1" showAll="0">
      <items count="3">
        <item x="0"/>
        <item x="1"/>
        <item t="default"/>
      </items>
    </pivotField>
    <pivotField showAll="0">
      <items count="13">
        <item x="2"/>
        <item x="0"/>
        <item x="5"/>
        <item x="3"/>
        <item x="4"/>
        <item x="1"/>
        <item x="8"/>
        <item x="6"/>
        <item x="11"/>
        <item x="9"/>
        <item x="10"/>
        <item x="7"/>
        <item t="default"/>
      </items>
    </pivotField>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10"/>
  </rowFields>
  <rowItems count="3">
    <i>
      <x/>
    </i>
    <i>
      <x v="1"/>
    </i>
    <i t="grand">
      <x/>
    </i>
  </rowItems>
  <colItems count="1">
    <i/>
  </colItems>
  <dataFields count="1">
    <dataField name="Count of Status" fld="10" subtotal="count" showDataAs="percentOfCo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819C55AF-3E30-4905-AAED-344C56F3EFD6}" name="PivotTable21"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8">
  <location ref="AP6:AS23" firstHeaderRow="1" firstDataRow="2" firstDataCol="1"/>
  <pivotFields count="17">
    <pivotField dataField="1" showAll="0"/>
    <pivotField showAll="0">
      <items count="6">
        <item x="4"/>
        <item x="0"/>
        <item x="1"/>
        <item x="2"/>
        <item x="3"/>
        <item t="default"/>
      </items>
    </pivotField>
    <pivotField axis="axisRow" showAll="0">
      <items count="16">
        <item x="3"/>
        <item x="9"/>
        <item x="14"/>
        <item x="6"/>
        <item x="7"/>
        <item x="11"/>
        <item x="1"/>
        <item x="0"/>
        <item x="8"/>
        <item x="4"/>
        <item x="5"/>
        <item x="12"/>
        <item x="13"/>
        <item x="10"/>
        <item x="2"/>
        <item t="default"/>
      </items>
    </pivotField>
    <pivotField showAll="0">
      <items count="9">
        <item x="3"/>
        <item x="6"/>
        <item x="7"/>
        <item x="0"/>
        <item x="5"/>
        <item x="1"/>
        <item x="4"/>
        <item x="2"/>
        <item t="default"/>
      </items>
    </pivotField>
    <pivotField showAll="0">
      <items count="200">
        <item x="36"/>
        <item x="177"/>
        <item x="105"/>
        <item x="93"/>
        <item x="147"/>
        <item x="72"/>
        <item x="80"/>
        <item x="58"/>
        <item x="96"/>
        <item x="191"/>
        <item x="51"/>
        <item x="43"/>
        <item x="126"/>
        <item x="47"/>
        <item x="2"/>
        <item x="53"/>
        <item x="157"/>
        <item x="164"/>
        <item x="153"/>
        <item x="140"/>
        <item x="185"/>
        <item x="144"/>
        <item x="14"/>
        <item x="94"/>
        <item x="67"/>
        <item x="159"/>
        <item x="123"/>
        <item x="130"/>
        <item x="112"/>
        <item x="154"/>
        <item x="174"/>
        <item x="136"/>
        <item x="88"/>
        <item x="66"/>
        <item x="101"/>
        <item x="119"/>
        <item x="3"/>
        <item x="55"/>
        <item x="83"/>
        <item x="155"/>
        <item x="49"/>
        <item x="179"/>
        <item x="183"/>
        <item x="26"/>
        <item x="116"/>
        <item x="125"/>
        <item x="194"/>
        <item x="99"/>
        <item x="113"/>
        <item x="111"/>
        <item x="41"/>
        <item x="32"/>
        <item x="18"/>
        <item x="196"/>
        <item x="115"/>
        <item x="187"/>
        <item x="173"/>
        <item x="63"/>
        <item x="44"/>
        <item x="34"/>
        <item x="23"/>
        <item x="102"/>
        <item x="122"/>
        <item x="42"/>
        <item x="175"/>
        <item x="128"/>
        <item x="146"/>
        <item x="8"/>
        <item x="169"/>
        <item x="124"/>
        <item x="139"/>
        <item x="17"/>
        <item x="69"/>
        <item x="11"/>
        <item x="148"/>
        <item x="35"/>
        <item x="131"/>
        <item x="160"/>
        <item x="162"/>
        <item x="79"/>
        <item x="5"/>
        <item x="133"/>
        <item x="198"/>
        <item x="39"/>
        <item x="195"/>
        <item x="27"/>
        <item x="156"/>
        <item x="64"/>
        <item x="186"/>
        <item x="30"/>
        <item x="184"/>
        <item x="20"/>
        <item x="59"/>
        <item x="54"/>
        <item x="95"/>
        <item x="150"/>
        <item x="31"/>
        <item x="16"/>
        <item x="40"/>
        <item x="97"/>
        <item x="15"/>
        <item x="120"/>
        <item x="65"/>
        <item x="180"/>
        <item x="38"/>
        <item x="28"/>
        <item x="57"/>
        <item x="89"/>
        <item x="24"/>
        <item x="151"/>
        <item x="118"/>
        <item x="74"/>
        <item x="71"/>
        <item x="77"/>
        <item x="135"/>
        <item x="143"/>
        <item x="84"/>
        <item x="86"/>
        <item x="110"/>
        <item x="138"/>
        <item x="68"/>
        <item x="158"/>
        <item x="13"/>
        <item x="141"/>
        <item x="91"/>
        <item x="56"/>
        <item x="145"/>
        <item x="108"/>
        <item x="181"/>
        <item x="61"/>
        <item x="85"/>
        <item x="75"/>
        <item x="81"/>
        <item x="0"/>
        <item x="166"/>
        <item x="50"/>
        <item x="170"/>
        <item x="21"/>
        <item x="22"/>
        <item x="172"/>
        <item x="161"/>
        <item x="25"/>
        <item x="197"/>
        <item x="78"/>
        <item x="137"/>
        <item x="98"/>
        <item x="60"/>
        <item x="193"/>
        <item x="9"/>
        <item x="12"/>
        <item x="100"/>
        <item x="190"/>
        <item x="70"/>
        <item x="107"/>
        <item x="134"/>
        <item x="62"/>
        <item x="82"/>
        <item x="132"/>
        <item x="142"/>
        <item x="168"/>
        <item x="167"/>
        <item x="6"/>
        <item x="149"/>
        <item x="92"/>
        <item x="114"/>
        <item x="76"/>
        <item x="45"/>
        <item x="10"/>
        <item x="7"/>
        <item x="176"/>
        <item x="127"/>
        <item x="104"/>
        <item x="106"/>
        <item x="192"/>
        <item x="4"/>
        <item x="189"/>
        <item x="103"/>
        <item x="19"/>
        <item x="90"/>
        <item x="178"/>
        <item x="46"/>
        <item x="37"/>
        <item x="29"/>
        <item x="48"/>
        <item x="1"/>
        <item x="171"/>
        <item x="52"/>
        <item x="129"/>
        <item x="33"/>
        <item x="117"/>
        <item x="165"/>
        <item x="163"/>
        <item x="182"/>
        <item x="73"/>
        <item x="87"/>
        <item x="121"/>
        <item x="152"/>
        <item x="109"/>
        <item x="188"/>
        <item t="default"/>
      </items>
    </pivotField>
    <pivotField showAll="0">
      <items count="4">
        <item x="0"/>
        <item x="1"/>
        <item x="2"/>
        <item t="default"/>
      </items>
    </pivotField>
    <pivotField showAll="0"/>
    <pivotField numFmtId="14" showAll="0">
      <items count="240">
        <item x="43"/>
        <item x="53"/>
        <item x="14"/>
        <item x="82"/>
        <item x="19"/>
        <item x="85"/>
        <item x="69"/>
        <item x="4"/>
        <item x="83"/>
        <item x="87"/>
        <item x="103"/>
        <item x="51"/>
        <item x="114"/>
        <item x="97"/>
        <item x="75"/>
        <item x="6"/>
        <item x="24"/>
        <item x="74"/>
        <item x="28"/>
        <item x="65"/>
        <item x="37"/>
        <item x="22"/>
        <item x="109"/>
        <item x="17"/>
        <item x="108"/>
        <item x="18"/>
        <item x="26"/>
        <item x="2"/>
        <item x="88"/>
        <item x="59"/>
        <item x="84"/>
        <item x="5"/>
        <item x="62"/>
        <item x="111"/>
        <item x="0"/>
        <item x="101"/>
        <item x="12"/>
        <item x="32"/>
        <item x="102"/>
        <item x="49"/>
        <item x="89"/>
        <item x="113"/>
        <item x="60"/>
        <item x="29"/>
        <item x="33"/>
        <item x="58"/>
        <item x="15"/>
        <item x="100"/>
        <item x="77"/>
        <item x="66"/>
        <item x="95"/>
        <item x="99"/>
        <item x="57"/>
        <item x="40"/>
        <item x="68"/>
        <item x="91"/>
        <item x="21"/>
        <item x="76"/>
        <item x="93"/>
        <item x="112"/>
        <item x="86"/>
        <item x="107"/>
        <item x="9"/>
        <item x="55"/>
        <item x="56"/>
        <item x="47"/>
        <item x="42"/>
        <item x="73"/>
        <item x="23"/>
        <item x="78"/>
        <item x="35"/>
        <item x="46"/>
        <item x="34"/>
        <item x="67"/>
        <item x="7"/>
        <item x="64"/>
        <item x="110"/>
        <item x="80"/>
        <item x="16"/>
        <item x="52"/>
        <item x="27"/>
        <item x="54"/>
        <item x="61"/>
        <item x="72"/>
        <item x="20"/>
        <item x="31"/>
        <item x="71"/>
        <item x="48"/>
        <item x="96"/>
        <item x="38"/>
        <item x="105"/>
        <item x="50"/>
        <item x="44"/>
        <item x="92"/>
        <item x="8"/>
        <item x="25"/>
        <item x="45"/>
        <item x="79"/>
        <item x="70"/>
        <item x="36"/>
        <item x="90"/>
        <item x="10"/>
        <item x="63"/>
        <item x="39"/>
        <item x="104"/>
        <item x="106"/>
        <item x="3"/>
        <item x="1"/>
        <item x="98"/>
        <item x="94"/>
        <item x="30"/>
        <item x="81"/>
        <item x="11"/>
        <item x="13"/>
        <item x="118"/>
        <item x="115"/>
        <item x="119"/>
        <item x="116"/>
        <item x="41"/>
        <item x="117"/>
        <item x="163"/>
        <item x="173"/>
        <item x="134"/>
        <item x="202"/>
        <item x="139"/>
        <item x="205"/>
        <item x="189"/>
        <item x="124"/>
        <item x="203"/>
        <item x="207"/>
        <item x="223"/>
        <item x="171"/>
        <item x="233"/>
        <item x="217"/>
        <item x="195"/>
        <item x="126"/>
        <item x="144"/>
        <item x="194"/>
        <item x="148"/>
        <item x="185"/>
        <item x="157"/>
        <item x="142"/>
        <item x="228"/>
        <item x="137"/>
        <item x="227"/>
        <item x="138"/>
        <item x="146"/>
        <item x="122"/>
        <item x="208"/>
        <item x="179"/>
        <item x="204"/>
        <item x="125"/>
        <item x="182"/>
        <item x="230"/>
        <item x="120"/>
        <item x="221"/>
        <item x="132"/>
        <item x="152"/>
        <item x="222"/>
        <item x="169"/>
        <item x="209"/>
        <item x="232"/>
        <item x="180"/>
        <item x="149"/>
        <item x="153"/>
        <item x="178"/>
        <item x="135"/>
        <item x="220"/>
        <item x="197"/>
        <item x="186"/>
        <item x="215"/>
        <item x="219"/>
        <item x="177"/>
        <item x="160"/>
        <item x="188"/>
        <item x="211"/>
        <item x="141"/>
        <item x="196"/>
        <item x="213"/>
        <item x="231"/>
        <item x="206"/>
        <item x="129"/>
        <item x="175"/>
        <item x="176"/>
        <item x="167"/>
        <item x="162"/>
        <item x="193"/>
        <item x="143"/>
        <item x="198"/>
        <item x="155"/>
        <item x="166"/>
        <item x="154"/>
        <item x="187"/>
        <item x="127"/>
        <item x="184"/>
        <item x="229"/>
        <item x="200"/>
        <item x="136"/>
        <item x="172"/>
        <item x="147"/>
        <item x="174"/>
        <item x="181"/>
        <item x="192"/>
        <item x="140"/>
        <item x="151"/>
        <item x="191"/>
        <item x="168"/>
        <item x="216"/>
        <item x="158"/>
        <item x="225"/>
        <item x="170"/>
        <item x="164"/>
        <item x="212"/>
        <item x="128"/>
        <item x="145"/>
        <item x="165"/>
        <item x="199"/>
        <item x="190"/>
        <item x="156"/>
        <item x="210"/>
        <item x="130"/>
        <item x="183"/>
        <item x="159"/>
        <item x="224"/>
        <item x="226"/>
        <item x="123"/>
        <item x="121"/>
        <item x="218"/>
        <item x="214"/>
        <item x="150"/>
        <item x="201"/>
        <item x="131"/>
        <item x="133"/>
        <item x="237"/>
        <item x="234"/>
        <item x="238"/>
        <item x="235"/>
        <item x="161"/>
        <item x="236"/>
        <item t="default"/>
      </items>
    </pivotField>
    <pivotField numFmtId="14" showAll="0"/>
    <pivotField showAll="0"/>
    <pivotField axis="axisCol" multipleItemSelectionAllowed="1" showAll="0" measureFilter="1">
      <items count="3">
        <item x="0"/>
        <item x="1"/>
        <item t="default"/>
      </items>
    </pivotField>
    <pivotField showAll="0">
      <items count="13">
        <item x="2"/>
        <item x="0"/>
        <item x="5"/>
        <item x="3"/>
        <item x="4"/>
        <item x="1"/>
        <item x="8"/>
        <item x="6"/>
        <item x="11"/>
        <item x="9"/>
        <item x="10"/>
        <item x="7"/>
        <item t="default"/>
      </items>
    </pivotField>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2"/>
  </rowFields>
  <rowItems count="16">
    <i>
      <x/>
    </i>
    <i>
      <x v="1"/>
    </i>
    <i>
      <x v="2"/>
    </i>
    <i>
      <x v="3"/>
    </i>
    <i>
      <x v="4"/>
    </i>
    <i>
      <x v="5"/>
    </i>
    <i>
      <x v="6"/>
    </i>
    <i>
      <x v="7"/>
    </i>
    <i>
      <x v="8"/>
    </i>
    <i>
      <x v="9"/>
    </i>
    <i>
      <x v="10"/>
    </i>
    <i>
      <x v="11"/>
    </i>
    <i>
      <x v="12"/>
    </i>
    <i>
      <x v="13"/>
    </i>
    <i>
      <x v="14"/>
    </i>
    <i t="grand">
      <x/>
    </i>
  </rowItems>
  <colFields count="1">
    <field x="10"/>
  </colFields>
  <colItems count="3">
    <i>
      <x/>
    </i>
    <i>
      <x v="1"/>
    </i>
    <i t="grand">
      <x/>
    </i>
  </colItems>
  <dataFields count="1">
    <dataField name="Count of Ticket ID" fld="0" subtotal="count" baseField="0" baseItem="0"/>
  </dataFields>
  <pivotTableStyleInfo name="PivotStyleLight16" showRowHeaders="1" showColHeaders="1" showRowStripes="0" showColStripes="0" showLastColumn="1"/>
  <filters count="1">
    <filter fld="10" type="count" evalOrder="-1" id="2" iMeasureFld="0">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F6E26B11-3617-4670-9042-2A2CD8C03BF8}" autoFormatId="16" applyNumberFormats="0" applyBorderFormats="0" applyFontFormats="0" applyPatternFormats="0" applyAlignmentFormats="0" applyWidthHeightFormats="0">
  <queryTableRefresh nextId="16" unboundColumnsRight="3">
    <queryTableFields count="12">
      <queryTableField id="1" name="Ticket ID" tableColumnId="1"/>
      <queryTableField id="2" name="Region" tableColumnId="2"/>
      <queryTableField id="3" name="Country" tableColumnId="3"/>
      <queryTableField id="4" name="Request Type" tableColumnId="4"/>
      <queryTableField id="5" name="Request Description" tableColumnId="5"/>
      <queryTableField id="6" name="Priority" tableColumnId="6"/>
      <queryTableField id="7" name="Assigned To" tableColumnId="7"/>
      <queryTableField id="8" name="Open Date" tableColumnId="8"/>
      <queryTableField id="9" name="Close Date" tableColumnId="9"/>
      <queryTableField id="13" dataBound="0" tableColumnId="13"/>
      <queryTableField id="14" dataBound="0" tableColumnId="14"/>
      <queryTableField id="15" dataBound="0" tableColumnId="15"/>
    </queryTableFields>
    <queryTableDeletedFields count="3">
      <deletedField name="Actual Days"/>
      <deletedField name="Month"/>
      <deletedField name="Status"/>
    </queryTableDeleted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5B331A0-B0B5-4DFB-9319-E782E8C7A7D6}" sourceName="Region">
  <pivotTables>
    <pivotTable tabId="7" name="PivotTable20"/>
    <pivotTable tabId="7" name="PivotTable13"/>
    <pivotTable tabId="7" name="PivotTable14"/>
    <pivotTable tabId="7" name="PivotTable15"/>
    <pivotTable tabId="7" name="PivotTable16"/>
    <pivotTable tabId="7" name="PivotTable17"/>
    <pivotTable tabId="7" name="PivotTable19"/>
    <pivotTable tabId="7" name="PivotTable21"/>
    <pivotTable tabId="7" name="PivotTable38"/>
    <pivotTable tabId="7" name="PivotTable8"/>
    <pivotTable tabId="7" name="PivotTable9"/>
  </pivotTables>
  <data>
    <tabular pivotCacheId="1022667113">
      <items count="5">
        <i x="4" s="1"/>
        <i x="0" s="1"/>
        <i x="1"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quest_Type" xr10:uid="{C7A1FC2C-44EB-42AC-9FB9-9BB7D0B658C9}" sourceName="Request Type">
  <pivotTables>
    <pivotTable tabId="7" name="PivotTable20"/>
    <pivotTable tabId="7" name="PivotTable13"/>
    <pivotTable tabId="7" name="PivotTable14"/>
    <pivotTable tabId="7" name="PivotTable15"/>
    <pivotTable tabId="7" name="PivotTable16"/>
    <pivotTable tabId="7" name="PivotTable17"/>
    <pivotTable tabId="7" name="PivotTable19"/>
    <pivotTable tabId="7" name="PivotTable21"/>
    <pivotTable tabId="7" name="PivotTable38"/>
    <pivotTable tabId="7" name="PivotTable8"/>
    <pivotTable tabId="7" name="PivotTable9"/>
  </pivotTables>
  <data>
    <tabular pivotCacheId="1022667113">
      <items count="8">
        <i x="3" s="1"/>
        <i x="6" s="1"/>
        <i x="7" s="1"/>
        <i x="0" s="1"/>
        <i x="5" s="1"/>
        <i x="1" s="1"/>
        <i x="4"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iority" xr10:uid="{5950B1F4-3D2E-4A55-98BA-89B497BB8027}" sourceName="Priority">
  <pivotTables>
    <pivotTable tabId="7" name="PivotTable20"/>
    <pivotTable tabId="7" name="PivotTable13"/>
    <pivotTable tabId="7" name="PivotTable14"/>
    <pivotTable tabId="7" name="PivotTable15"/>
    <pivotTable tabId="7" name="PivotTable16"/>
    <pivotTable tabId="7" name="PivotTable17"/>
    <pivotTable tabId="7" name="PivotTable19"/>
    <pivotTable tabId="7" name="PivotTable21"/>
    <pivotTable tabId="7" name="PivotTable38"/>
    <pivotTable tabId="7" name="PivotTable8"/>
    <pivotTable tabId="7" name="PivotTable9"/>
  </pivotTables>
  <data>
    <tabular pivotCacheId="1022667113">
      <items count="3">
        <i x="0"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6ABFEE83-3D54-4B2E-9422-B80D60408FC9}" sourceName="Month">
  <pivotTables>
    <pivotTable tabId="7" name="PivotTable20"/>
    <pivotTable tabId="7" name="PivotTable13"/>
    <pivotTable tabId="7" name="PivotTable14"/>
    <pivotTable tabId="7" name="PivotTable15"/>
    <pivotTable tabId="7" name="PivotTable16"/>
    <pivotTable tabId="7" name="PivotTable17"/>
    <pivotTable tabId="7" name="PivotTable19"/>
    <pivotTable tabId="7" name="PivotTable21"/>
    <pivotTable tabId="7" name="PivotTable38"/>
    <pivotTable tabId="7" name="PivotTable8"/>
    <pivotTable tabId="7" name="PivotTable9"/>
  </pivotTables>
  <data>
    <tabular pivotCacheId="1022667113">
      <items count="12">
        <i x="2" s="1"/>
        <i x="0" s="1"/>
        <i x="5" s="1"/>
        <i x="3" s="1"/>
        <i x="4" s="1"/>
        <i x="1" s="1"/>
        <i x="8" s="1"/>
        <i x="6" s="1"/>
        <i x="11" s="1"/>
        <i x="9" s="1"/>
        <i x="10" s="1"/>
        <i x="7"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522F1294-1A96-4C89-9146-C299AB9D523F}" cache="Slicer_Region" caption="Region" columnCount="2" style="Myslicer" rowHeight="234950"/>
  <slicer name="Request Type" xr10:uid="{58392D2C-DC9B-43FC-AFA1-0810C61BCAF4}" cache="Slicer_Request_Type" caption="Request Type" columnCount="2" style="Myslicer" rowHeight="234950"/>
  <slicer name="Priority" xr10:uid="{7EE3AF44-E284-4372-B48F-C84ECCEF1651}" cache="Slicer_Priority" caption="Priority" style="Myslicer" rowHeight="234950"/>
  <slicer name="Month" xr10:uid="{DE6B077A-9A77-4854-B76E-40C189369C06}" cache="Slicer_Month" caption="Month" columnCount="3" style="Myslicer"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5166A4D-CE97-4A7A-A529-E8875FE5B981}" name="Sheet1" displayName="Sheet1" ref="A1:L1127" tableType="queryTable" totalsRowShown="0">
  <autoFilter ref="A1:L1127" xr:uid="{B5166A4D-CE97-4A7A-A529-E8875FE5B981}"/>
  <tableColumns count="12">
    <tableColumn id="1" xr3:uid="{91F9185B-AD4E-4050-8CE8-2A2A014A1997}" uniqueName="1" name="Ticket ID" queryTableFieldId="1" dataDxfId="11"/>
    <tableColumn id="2" xr3:uid="{51FA9479-7D51-4D30-89EF-0C959890095B}" uniqueName="2" name="Region" queryTableFieldId="2" dataDxfId="10"/>
    <tableColumn id="3" xr3:uid="{743EC664-86C4-4A4C-A62A-A6930EA35A0A}" uniqueName="3" name="Country" queryTableFieldId="3" dataDxfId="9"/>
    <tableColumn id="4" xr3:uid="{8C1C1727-59FE-4756-93E3-8621E66FF259}" uniqueName="4" name="Request Type" queryTableFieldId="4" dataDxfId="8"/>
    <tableColumn id="5" xr3:uid="{51410EA1-03E1-45ED-93A1-523FAD78751A}" uniqueName="5" name="Request Description" queryTableFieldId="5" dataDxfId="7"/>
    <tableColumn id="6" xr3:uid="{5229AA2B-F4CF-4D7C-8C4E-CEA4CE2C5337}" uniqueName="6" name="Priority" queryTableFieldId="6" dataDxfId="6"/>
    <tableColumn id="7" xr3:uid="{6B259A2C-A7AB-482C-891D-4F7FA59A3A5D}" uniqueName="7" name="Assigned To" queryTableFieldId="7" dataDxfId="5"/>
    <tableColumn id="8" xr3:uid="{DD926A85-9475-4177-8261-5C858BDFC100}" uniqueName="8" name="Open Date" queryTableFieldId="8" dataDxfId="4"/>
    <tableColumn id="9" xr3:uid="{49BA2509-B991-4AEB-B38D-6B3EAA4D29E5}" uniqueName="9" name="Close Date" queryTableFieldId="9" dataDxfId="3"/>
    <tableColumn id="13" xr3:uid="{08081C1E-C779-498F-B0B2-5048DD599DC6}" uniqueName="13" name="Actual Days" queryTableFieldId="13" dataDxfId="2">
      <calculatedColumnFormula>Sheet1[[#This Row],[Close Date]]-Sheet1[[#This Row],[Open Date]]</calculatedColumnFormula>
    </tableColumn>
    <tableColumn id="14" xr3:uid="{D436A1C0-9122-4597-B109-BF807962C09A}" uniqueName="14" name="Status" queryTableFieldId="14" dataDxfId="1">
      <calculatedColumnFormula>IF(Sheet1[[#This Row],[Actual Days]]&gt;=1,"Not Met","Met")</calculatedColumnFormula>
    </tableColumn>
    <tableColumn id="15" xr3:uid="{A3F2505E-700B-4D72-82D2-C2F208A65F7F}" uniqueName="15" name="Month" queryTableFieldId="15" dataDxfId="0">
      <calculatedColumnFormula>TEXT(Sheet1[[#This Row],[Open Date]],"mmm")</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1FB222-5995-44BA-95D0-20DBACFE8FCA}">
  <dimension ref="A1:BW29"/>
  <sheetViews>
    <sheetView topLeftCell="Y1" zoomScale="86" zoomScaleNormal="70" workbookViewId="0">
      <selection activeCell="AJ10" sqref="AJ10"/>
    </sheetView>
  </sheetViews>
  <sheetFormatPr defaultRowHeight="14.4" x14ac:dyDescent="0.3"/>
  <cols>
    <col min="1" max="1" width="2.6640625" customWidth="1"/>
    <col min="2" max="2" width="10.109375" customWidth="1"/>
    <col min="3" max="3" width="6.21875" customWidth="1"/>
    <col min="4" max="4" width="3.77734375" customWidth="1"/>
    <col min="5" max="5" width="6" customWidth="1"/>
    <col min="6" max="6" width="5.6640625" customWidth="1"/>
    <col min="7" max="7" width="15.5546875" bestFit="1" customWidth="1"/>
    <col min="8" max="8" width="8" bestFit="1" customWidth="1"/>
    <col min="9" max="9" width="6.33203125" customWidth="1"/>
    <col min="10" max="10" width="6.6640625" customWidth="1"/>
    <col min="11" max="11" width="6" customWidth="1"/>
    <col min="12" max="12" width="8.109375" customWidth="1"/>
    <col min="13" max="13" width="8" bestFit="1" customWidth="1"/>
    <col min="14" max="14" width="10.77734375" bestFit="1" customWidth="1"/>
    <col min="15" max="15" width="12.5546875" bestFit="1" customWidth="1"/>
    <col min="16" max="16" width="5" customWidth="1"/>
    <col min="17" max="17" width="11.77734375" customWidth="1"/>
    <col min="18" max="18" width="7.33203125" customWidth="1"/>
    <col min="19" max="19" width="6.33203125" customWidth="1"/>
    <col min="20" max="20" width="7.77734375" customWidth="1"/>
    <col min="21" max="21" width="4.77734375" customWidth="1"/>
    <col min="22" max="22" width="6.33203125" customWidth="1"/>
    <col min="23" max="23" width="6.21875" customWidth="1"/>
    <col min="25" max="25" width="6.33203125" customWidth="1"/>
    <col min="26" max="26" width="4.88671875" customWidth="1"/>
    <col min="30" max="30" width="4" customWidth="1"/>
    <col min="34" max="34" width="3" customWidth="1"/>
    <col min="37" max="37" width="3.33203125" customWidth="1"/>
    <col min="41" max="41" width="3.44140625" customWidth="1"/>
    <col min="46" max="46" width="2.88671875" customWidth="1"/>
    <col min="53" max="53" width="9.77734375" customWidth="1"/>
    <col min="54" max="54" width="6.88671875" customWidth="1"/>
    <col min="55" max="55" width="7.33203125" customWidth="1"/>
    <col min="56" max="56" width="8.44140625" customWidth="1"/>
    <col min="71" max="72" width="16.77734375" bestFit="1" customWidth="1"/>
    <col min="73" max="73" width="21.5546875" bestFit="1" customWidth="1"/>
    <col min="74" max="74" width="13.33203125" bestFit="1" customWidth="1"/>
    <col min="75" max="75" width="14.6640625" bestFit="1" customWidth="1"/>
  </cols>
  <sheetData>
    <row r="1" spans="1:75" x14ac:dyDescent="0.3">
      <c r="B1" s="28" t="s">
        <v>1403</v>
      </c>
      <c r="C1" s="29"/>
      <c r="D1" s="29"/>
      <c r="E1" s="29"/>
      <c r="F1" s="29"/>
      <c r="G1" s="29"/>
      <c r="H1" s="29"/>
      <c r="I1" s="29"/>
      <c r="J1" s="29"/>
      <c r="K1" s="29"/>
      <c r="L1" s="29"/>
      <c r="N1" s="28" t="s">
        <v>1406</v>
      </c>
      <c r="O1" s="28"/>
      <c r="Q1" s="28" t="s">
        <v>1407</v>
      </c>
      <c r="R1" s="29"/>
      <c r="S1" s="29"/>
      <c r="T1" s="29"/>
      <c r="U1" s="29"/>
      <c r="V1" s="29"/>
      <c r="W1" s="29"/>
      <c r="X1" s="29"/>
      <c r="Y1" s="29"/>
      <c r="Z1" s="29"/>
      <c r="AB1" s="28" t="s">
        <v>1410</v>
      </c>
      <c r="AC1" s="29"/>
      <c r="AD1" s="29"/>
      <c r="AE1" s="29"/>
      <c r="AF1" s="29"/>
      <c r="AG1" s="29"/>
      <c r="AI1" s="28" t="s">
        <v>1411</v>
      </c>
      <c r="AJ1" s="29"/>
      <c r="AK1" s="29"/>
      <c r="AL1" s="29"/>
      <c r="AM1" s="29"/>
      <c r="AN1" s="29"/>
      <c r="AP1" s="28" t="s">
        <v>1415</v>
      </c>
      <c r="AQ1" s="29"/>
      <c r="AR1" s="29"/>
      <c r="AS1" s="29"/>
      <c r="AT1" s="29"/>
      <c r="AU1" s="29"/>
      <c r="AV1" s="29"/>
      <c r="AW1" s="29"/>
      <c r="AX1" s="29"/>
      <c r="AY1" s="29"/>
    </row>
    <row r="2" spans="1:75" x14ac:dyDescent="0.3">
      <c r="A2" s="6"/>
      <c r="H2" s="14"/>
      <c r="I2" s="14"/>
      <c r="J2" s="17">
        <f>IFERROR(GETPIVOTDATA("Ticket ID",$E$7)/GETPIVOTDATA("Ticket ID",$B$7),"")</f>
        <v>0.94049733570159855</v>
      </c>
    </row>
    <row r="3" spans="1:75" x14ac:dyDescent="0.3">
      <c r="H3" s="19" t="s">
        <v>1400</v>
      </c>
      <c r="I3" s="17">
        <f>IFERROR(GETPIVOTDATA("Ticket ID",$E$7)/GETPIVOTDATA("Ticket ID",$B$7),"")</f>
        <v>0.94049733570159855</v>
      </c>
      <c r="J3" s="16">
        <v>0.01</v>
      </c>
    </row>
    <row r="4" spans="1:75" x14ac:dyDescent="0.3">
      <c r="H4" s="19" t="s">
        <v>1401</v>
      </c>
      <c r="I4" s="16">
        <f>I5-I3</f>
        <v>0.25950266429840141</v>
      </c>
      <c r="J4" s="16">
        <v>0.26</v>
      </c>
      <c r="N4" s="3" t="s">
        <v>10</v>
      </c>
      <c r="O4" t="s">
        <v>53</v>
      </c>
      <c r="AB4" s="3" t="s">
        <v>10</v>
      </c>
      <c r="AC4" t="s">
        <v>53</v>
      </c>
      <c r="AI4" s="3" t="s">
        <v>10</v>
      </c>
      <c r="AJ4" t="s">
        <v>1395</v>
      </c>
    </row>
    <row r="5" spans="1:75" x14ac:dyDescent="0.3">
      <c r="B5" s="3" t="s">
        <v>10</v>
      </c>
      <c r="C5" t="s">
        <v>1395</v>
      </c>
      <c r="E5" s="3" t="s">
        <v>10</v>
      </c>
      <c r="F5" t="s">
        <v>19</v>
      </c>
      <c r="H5" s="19" t="s">
        <v>1402</v>
      </c>
      <c r="I5" s="16">
        <v>1.2</v>
      </c>
      <c r="J5" s="16">
        <v>1.2</v>
      </c>
      <c r="N5" s="6"/>
      <c r="Q5" s="6"/>
      <c r="AB5" s="6"/>
      <c r="AI5" s="6"/>
      <c r="AP5" s="6"/>
      <c r="BV5" s="26" t="s">
        <v>1393</v>
      </c>
      <c r="BW5" s="27"/>
    </row>
    <row r="6" spans="1:75" x14ac:dyDescent="0.3">
      <c r="N6" s="3" t="s">
        <v>1388</v>
      </c>
      <c r="O6" t="s">
        <v>1390</v>
      </c>
      <c r="Q6" s="3" t="s">
        <v>1390</v>
      </c>
      <c r="R6" s="3" t="s">
        <v>1391</v>
      </c>
      <c r="AB6" s="3" t="s">
        <v>1388</v>
      </c>
      <c r="AC6" t="s">
        <v>1390</v>
      </c>
      <c r="AE6" s="24" t="s">
        <v>5</v>
      </c>
      <c r="AF6" s="24" t="s">
        <v>1408</v>
      </c>
      <c r="AG6" s="24" t="s">
        <v>1409</v>
      </c>
      <c r="AI6" s="3" t="s">
        <v>1388</v>
      </c>
      <c r="AJ6" t="s">
        <v>1390</v>
      </c>
      <c r="AL6" s="21" t="s">
        <v>1</v>
      </c>
      <c r="AM6" s="21" t="s">
        <v>1408</v>
      </c>
      <c r="AN6" s="21" t="s">
        <v>1409</v>
      </c>
      <c r="AP6" s="3" t="s">
        <v>1390</v>
      </c>
      <c r="AQ6" s="3" t="s">
        <v>1391</v>
      </c>
      <c r="BV6" s="3" t="s">
        <v>1388</v>
      </c>
      <c r="BW6" t="s">
        <v>1392</v>
      </c>
    </row>
    <row r="7" spans="1:75" x14ac:dyDescent="0.3">
      <c r="B7" s="3" t="s">
        <v>1388</v>
      </c>
      <c r="C7" t="s">
        <v>1390</v>
      </c>
      <c r="E7" s="3" t="s">
        <v>1388</v>
      </c>
      <c r="F7" t="s">
        <v>1390</v>
      </c>
      <c r="H7" s="20" t="s">
        <v>11</v>
      </c>
      <c r="I7" s="19" t="s">
        <v>1396</v>
      </c>
      <c r="J7" s="19" t="s">
        <v>1397</v>
      </c>
      <c r="K7" s="19" t="s">
        <v>1398</v>
      </c>
      <c r="L7" s="19" t="s">
        <v>1399</v>
      </c>
      <c r="N7" s="4" t="s">
        <v>87</v>
      </c>
      <c r="O7">
        <v>2</v>
      </c>
      <c r="Q7" s="3" t="s">
        <v>1388</v>
      </c>
      <c r="R7" t="s">
        <v>19</v>
      </c>
      <c r="S7" t="s">
        <v>53</v>
      </c>
      <c r="T7" t="s">
        <v>1389</v>
      </c>
      <c r="V7" s="21" t="s">
        <v>1404</v>
      </c>
      <c r="W7" s="21" t="s">
        <v>1405</v>
      </c>
      <c r="X7" s="21" t="s">
        <v>1397</v>
      </c>
      <c r="Y7" s="21" t="s">
        <v>53</v>
      </c>
      <c r="Z7" s="21" t="s">
        <v>19</v>
      </c>
      <c r="AB7" s="4" t="s">
        <v>17</v>
      </c>
      <c r="AC7">
        <v>16</v>
      </c>
      <c r="AE7" s="22" t="s">
        <v>26</v>
      </c>
      <c r="AF7" s="18">
        <f>GETPIVOTDATA("Ticket ID",$AB$6,"Priority",AE7)/AF10</f>
        <v>0.32835820895522388</v>
      </c>
      <c r="AG7" s="14">
        <f>GETPIVOTDATA("Ticket ID",$AB$6,"Priority",AE7)</f>
        <v>22</v>
      </c>
      <c r="AI7" s="4" t="s">
        <v>42</v>
      </c>
      <c r="AJ7">
        <v>138</v>
      </c>
      <c r="AL7" s="15" t="s">
        <v>42</v>
      </c>
      <c r="AM7" s="17">
        <f>AN7/$AJ$12</f>
        <v>0.12255772646536411</v>
      </c>
      <c r="AN7" s="14">
        <f>GETPIVOTDATA("Ticket ID",$AI$6,"Region",AL7)</f>
        <v>138</v>
      </c>
      <c r="AP7" s="3" t="s">
        <v>1388</v>
      </c>
      <c r="AQ7" t="s">
        <v>19</v>
      </c>
      <c r="AR7" t="s">
        <v>53</v>
      </c>
      <c r="AS7" t="s">
        <v>1389</v>
      </c>
      <c r="AU7" s="21" t="s">
        <v>2</v>
      </c>
      <c r="AV7" s="21" t="s">
        <v>1396</v>
      </c>
      <c r="AW7" s="21" t="s">
        <v>1412</v>
      </c>
      <c r="AX7" s="21" t="s">
        <v>1413</v>
      </c>
      <c r="AY7" s="21" t="s">
        <v>1414</v>
      </c>
      <c r="BA7" s="6"/>
      <c r="BV7" s="4" t="s">
        <v>19</v>
      </c>
      <c r="BW7" s="5">
        <v>0.94049733570159855</v>
      </c>
    </row>
    <row r="8" spans="1:75" x14ac:dyDescent="0.3">
      <c r="B8" s="4" t="s">
        <v>46</v>
      </c>
      <c r="C8">
        <v>118</v>
      </c>
      <c r="E8" s="4" t="s">
        <v>46</v>
      </c>
      <c r="F8">
        <v>96</v>
      </c>
      <c r="H8" s="15" t="s">
        <v>46</v>
      </c>
      <c r="I8" s="16">
        <v>0.94</v>
      </c>
      <c r="J8" s="17">
        <f>IFERROR(GETPIVOTDATA("Ticket ID",$E$7,"Month",H8)/GETPIVOTDATA("Ticket ID",B7,"Month",H8)," ")</f>
        <v>0.81355932203389836</v>
      </c>
      <c r="K8" s="18">
        <f>IF(I8&gt;J8,J8,"")</f>
        <v>0.81355932203389836</v>
      </c>
      <c r="L8" s="18" t="str">
        <f>IF(I8&lt;=J8,J8,"")</f>
        <v/>
      </c>
      <c r="N8" s="4" t="s">
        <v>94</v>
      </c>
      <c r="O8">
        <v>3</v>
      </c>
      <c r="Q8" s="4" t="s">
        <v>27</v>
      </c>
      <c r="R8">
        <v>165</v>
      </c>
      <c r="S8">
        <v>9</v>
      </c>
      <c r="T8">
        <v>174</v>
      </c>
      <c r="V8" s="15" t="s">
        <v>27</v>
      </c>
      <c r="W8" s="16">
        <v>0.94</v>
      </c>
      <c r="X8" s="17">
        <f>IFERROR(GETPIVOTDATA("Ticket ID",$Q$7,"Assigned To",V8,"Status","Met")/GETPIVOTDATA("Ticket ID",$Q$7,"Assigned To",V8),"")</f>
        <v>0.94827586206896552</v>
      </c>
      <c r="Y8" s="17" t="str">
        <f>IF(W8&gt;X8,X8,"")</f>
        <v/>
      </c>
      <c r="Z8" s="17">
        <f>IF(W8&lt;=X8,X8,"")</f>
        <v>0.94827586206896552</v>
      </c>
      <c r="AB8" s="4" t="s">
        <v>26</v>
      </c>
      <c r="AC8">
        <v>22</v>
      </c>
      <c r="AE8" s="22" t="s">
        <v>40</v>
      </c>
      <c r="AF8" s="18">
        <f>IFERROR(GETPIVOTDATA("Ticket ID",$AB$6, "Priority",AE8)/$AF$10,"")</f>
        <v>0.43283582089552236</v>
      </c>
      <c r="AG8" s="14">
        <f t="shared" ref="AG8:AG9" si="0">GETPIVOTDATA("Ticket ID",$AB$6,"Priority",AE8)</f>
        <v>29</v>
      </c>
      <c r="AI8" s="4" t="s">
        <v>13</v>
      </c>
      <c r="AJ8">
        <v>250</v>
      </c>
      <c r="AL8" s="15" t="s">
        <v>13</v>
      </c>
      <c r="AM8" s="17">
        <f t="shared" ref="AM8:AM11" si="1">AN8/$AJ$12</f>
        <v>0.22202486678507993</v>
      </c>
      <c r="AN8" s="14">
        <f t="shared" ref="AN8:AN11" si="2">GETPIVOTDATA("Ticket ID",$AI$6,"Region",AL8)</f>
        <v>250</v>
      </c>
      <c r="AP8" s="4" t="s">
        <v>37</v>
      </c>
      <c r="AQ8">
        <v>60</v>
      </c>
      <c r="AR8">
        <v>4</v>
      </c>
      <c r="AS8">
        <v>64</v>
      </c>
      <c r="AU8" s="15" t="s">
        <v>37</v>
      </c>
      <c r="AV8" s="16">
        <v>0.94</v>
      </c>
      <c r="AW8" s="17">
        <f t="shared" ref="AW8:AW22" si="3">IFERROR(GETPIVOTDATA("Ticket ID",$AP$6,"Country",AU8,"Status","Met")/GETPIVOTDATA("Ticket ID",$AP$6,"Country",AU8),"")</f>
        <v>0.9375</v>
      </c>
      <c r="AX8" s="17">
        <f t="shared" ref="AX8:AX22" si="4">IF(AV8&gt;AW8,AW8,"")</f>
        <v>0.9375</v>
      </c>
      <c r="AY8" s="17" t="str">
        <f t="shared" ref="AY8:AY22" si="5">IF(AV8&lt;=AW8,AW8,"")</f>
        <v/>
      </c>
      <c r="BK8" s="6"/>
      <c r="BV8" s="4" t="s">
        <v>53</v>
      </c>
      <c r="BW8" s="5">
        <v>5.9502664298401418E-2</v>
      </c>
    </row>
    <row r="9" spans="1:75" x14ac:dyDescent="0.3">
      <c r="A9" s="6"/>
      <c r="B9" s="4" t="s">
        <v>20</v>
      </c>
      <c r="C9">
        <v>68</v>
      </c>
      <c r="E9" s="4" t="s">
        <v>20</v>
      </c>
      <c r="F9">
        <v>64</v>
      </c>
      <c r="H9" s="15" t="s">
        <v>20</v>
      </c>
      <c r="I9" s="16">
        <v>0.94</v>
      </c>
      <c r="J9" s="17">
        <f t="shared" ref="J9:J19" si="6">IFERROR(GETPIVOTDATA("Ticket ID",$E$7,"Month",H9)/GETPIVOTDATA("Ticket ID",B8,"Month",H9)," ")</f>
        <v>0.94117647058823528</v>
      </c>
      <c r="K9" s="18" t="str">
        <f t="shared" ref="K9:K19" si="7">IF(I9&gt;J9,J9,"")</f>
        <v/>
      </c>
      <c r="L9" s="18">
        <f t="shared" ref="L9:L18" si="8">IF(I9&lt;=J9,J9,"")</f>
        <v>0.94117647058823528</v>
      </c>
      <c r="N9" s="4" t="s">
        <v>156</v>
      </c>
      <c r="O9">
        <v>5</v>
      </c>
      <c r="Q9" s="4" t="s">
        <v>59</v>
      </c>
      <c r="R9">
        <v>176</v>
      </c>
      <c r="S9">
        <v>8</v>
      </c>
      <c r="T9">
        <v>184</v>
      </c>
      <c r="V9" s="15" t="s">
        <v>59</v>
      </c>
      <c r="W9" s="16">
        <v>0.94</v>
      </c>
      <c r="X9" s="17">
        <f t="shared" ref="X9:X13" si="9">IFERROR(GETPIVOTDATA("Ticket ID",$Q$7,"Assigned To",V9,"Status","Met")/GETPIVOTDATA("Ticket ID",$Q$7,"Assigned To",V9),"")</f>
        <v>0.95652173913043481</v>
      </c>
      <c r="Y9" s="17" t="str">
        <f t="shared" ref="Y9:Y13" si="10">IF(W9&gt;X9,X9,"")</f>
        <v/>
      </c>
      <c r="Z9" s="17">
        <f t="shared" ref="Z9:Z13" si="11">IF(W9&lt;=X9,X9,"")</f>
        <v>0.95652173913043481</v>
      </c>
      <c r="AB9" s="4" t="s">
        <v>40</v>
      </c>
      <c r="AC9">
        <v>29</v>
      </c>
      <c r="AE9" s="22" t="s">
        <v>17</v>
      </c>
      <c r="AF9" s="18">
        <f>GETPIVOTDATA("Ticket ID",$AB$6,"Priority",AE9)/AF10</f>
        <v>0.23880597014925373</v>
      </c>
      <c r="AG9" s="14">
        <f t="shared" si="0"/>
        <v>16</v>
      </c>
      <c r="AI9" s="4" t="s">
        <v>22</v>
      </c>
      <c r="AJ9">
        <v>192</v>
      </c>
      <c r="AL9" s="15" t="s">
        <v>22</v>
      </c>
      <c r="AM9" s="17">
        <f t="shared" si="1"/>
        <v>0.17051509769094139</v>
      </c>
      <c r="AN9" s="14">
        <f t="shared" si="2"/>
        <v>192</v>
      </c>
      <c r="AP9" s="4" t="s">
        <v>76</v>
      </c>
      <c r="AQ9">
        <v>50</v>
      </c>
      <c r="AR9">
        <v>4</v>
      </c>
      <c r="AS9">
        <v>54</v>
      </c>
      <c r="AU9" s="15" t="s">
        <v>76</v>
      </c>
      <c r="AV9" s="16">
        <v>0.94</v>
      </c>
      <c r="AW9" s="17">
        <f t="shared" si="3"/>
        <v>0.92592592592592593</v>
      </c>
      <c r="AX9" s="17">
        <f t="shared" si="4"/>
        <v>0.92592592592592593</v>
      </c>
      <c r="AY9" s="17" t="str">
        <f t="shared" si="5"/>
        <v/>
      </c>
      <c r="BF9" s="6"/>
      <c r="BV9" s="4" t="s">
        <v>1389</v>
      </c>
      <c r="BW9" s="5">
        <v>1</v>
      </c>
    </row>
    <row r="10" spans="1:75" x14ac:dyDescent="0.3">
      <c r="A10" s="9"/>
      <c r="B10" s="4" t="s">
        <v>82</v>
      </c>
      <c r="C10">
        <v>103</v>
      </c>
      <c r="E10" s="4" t="s">
        <v>82</v>
      </c>
      <c r="F10">
        <v>95</v>
      </c>
      <c r="H10" s="15" t="s">
        <v>82</v>
      </c>
      <c r="I10" s="16">
        <v>0.94</v>
      </c>
      <c r="J10" s="17">
        <f t="shared" si="6"/>
        <v>0.92233009708737868</v>
      </c>
      <c r="K10" s="18">
        <f t="shared" si="7"/>
        <v>0.92233009708737868</v>
      </c>
      <c r="L10" s="18" t="str">
        <f t="shared" si="8"/>
        <v/>
      </c>
      <c r="M10" s="12"/>
      <c r="N10" s="4" t="s">
        <v>73</v>
      </c>
      <c r="O10">
        <v>5</v>
      </c>
      <c r="Q10" s="4" t="s">
        <v>45</v>
      </c>
      <c r="R10">
        <v>175</v>
      </c>
      <c r="S10">
        <v>5</v>
      </c>
      <c r="T10">
        <v>180</v>
      </c>
      <c r="V10" s="15" t="s">
        <v>45</v>
      </c>
      <c r="W10" s="16">
        <v>0.94</v>
      </c>
      <c r="X10" s="17">
        <f t="shared" si="9"/>
        <v>0.97222222222222221</v>
      </c>
      <c r="Y10" s="17" t="str">
        <f t="shared" si="10"/>
        <v/>
      </c>
      <c r="Z10" s="17">
        <f t="shared" si="11"/>
        <v>0.97222222222222221</v>
      </c>
      <c r="AB10" s="4" t="s">
        <v>1389</v>
      </c>
      <c r="AC10">
        <v>67</v>
      </c>
      <c r="AE10" s="23" t="s">
        <v>1402</v>
      </c>
      <c r="AF10" s="14">
        <v>67</v>
      </c>
      <c r="AG10" s="14"/>
      <c r="AI10" s="4" t="s">
        <v>30</v>
      </c>
      <c r="AJ10">
        <v>396</v>
      </c>
      <c r="AK10" s="6"/>
      <c r="AL10" s="15" t="s">
        <v>30</v>
      </c>
      <c r="AM10" s="17">
        <f t="shared" si="1"/>
        <v>0.35168738898756663</v>
      </c>
      <c r="AN10" s="14">
        <f t="shared" si="2"/>
        <v>396</v>
      </c>
      <c r="AP10" s="4" t="s">
        <v>161</v>
      </c>
      <c r="AQ10">
        <v>118</v>
      </c>
      <c r="AR10">
        <v>2</v>
      </c>
      <c r="AS10">
        <v>120</v>
      </c>
      <c r="AU10" s="15" t="s">
        <v>161</v>
      </c>
      <c r="AV10" s="16">
        <v>0.94</v>
      </c>
      <c r="AW10" s="17">
        <f t="shared" si="3"/>
        <v>0.98333333333333328</v>
      </c>
      <c r="AX10" s="17" t="str">
        <f t="shared" si="4"/>
        <v/>
      </c>
      <c r="AY10" s="17">
        <f t="shared" si="5"/>
        <v>0.98333333333333328</v>
      </c>
      <c r="BF10" s="4"/>
    </row>
    <row r="11" spans="1:75" x14ac:dyDescent="0.3">
      <c r="A11" s="4"/>
      <c r="B11" s="4" t="s">
        <v>56</v>
      </c>
      <c r="C11">
        <v>121</v>
      </c>
      <c r="E11" s="4" t="s">
        <v>56</v>
      </c>
      <c r="F11">
        <v>119</v>
      </c>
      <c r="H11" s="15" t="s">
        <v>56</v>
      </c>
      <c r="I11" s="16">
        <v>0.94</v>
      </c>
      <c r="J11" s="17">
        <f t="shared" si="6"/>
        <v>0.98347107438016534</v>
      </c>
      <c r="K11" s="18" t="str">
        <f t="shared" si="7"/>
        <v/>
      </c>
      <c r="L11" s="18">
        <f t="shared" si="8"/>
        <v>0.98347107438016534</v>
      </c>
      <c r="N11" s="4" t="s">
        <v>24</v>
      </c>
      <c r="O11">
        <v>8</v>
      </c>
      <c r="Q11" s="4" t="s">
        <v>34</v>
      </c>
      <c r="R11">
        <v>182</v>
      </c>
      <c r="S11">
        <v>14</v>
      </c>
      <c r="T11">
        <v>196</v>
      </c>
      <c r="V11" s="15" t="s">
        <v>34</v>
      </c>
      <c r="W11" s="16">
        <v>0.94</v>
      </c>
      <c r="X11" s="17">
        <f t="shared" si="9"/>
        <v>0.9285714285714286</v>
      </c>
      <c r="Y11" s="17">
        <f>IF(W11&gt;X11,X11,"")</f>
        <v>0.9285714285714286</v>
      </c>
      <c r="Z11" s="17" t="str">
        <f t="shared" si="11"/>
        <v/>
      </c>
      <c r="AI11" s="4" t="s">
        <v>36</v>
      </c>
      <c r="AJ11">
        <v>150</v>
      </c>
      <c r="AK11" s="9"/>
      <c r="AL11" s="15" t="s">
        <v>36</v>
      </c>
      <c r="AM11" s="17">
        <f t="shared" si="1"/>
        <v>0.13321492007104796</v>
      </c>
      <c r="AN11" s="14">
        <f t="shared" si="2"/>
        <v>150</v>
      </c>
      <c r="AP11" s="4" t="s">
        <v>62</v>
      </c>
      <c r="AQ11">
        <v>30</v>
      </c>
      <c r="AR11">
        <v>2</v>
      </c>
      <c r="AS11">
        <v>32</v>
      </c>
      <c r="AU11" s="15" t="s">
        <v>62</v>
      </c>
      <c r="AV11" s="16">
        <v>0.94</v>
      </c>
      <c r="AW11" s="17">
        <f t="shared" si="3"/>
        <v>0.9375</v>
      </c>
      <c r="AX11" s="17">
        <f t="shared" si="4"/>
        <v>0.9375</v>
      </c>
      <c r="AY11" s="17" t="str">
        <f t="shared" si="5"/>
        <v/>
      </c>
      <c r="BF11" s="4"/>
      <c r="BS11" t="s">
        <v>1390</v>
      </c>
    </row>
    <row r="12" spans="1:75" x14ac:dyDescent="0.3">
      <c r="A12" s="4"/>
      <c r="B12" s="4" t="s">
        <v>60</v>
      </c>
      <c r="C12">
        <v>111</v>
      </c>
      <c r="E12" s="4" t="s">
        <v>60</v>
      </c>
      <c r="F12">
        <v>105</v>
      </c>
      <c r="H12" s="15" t="s">
        <v>60</v>
      </c>
      <c r="I12" s="16">
        <v>0.94</v>
      </c>
      <c r="J12" s="17">
        <f t="shared" si="6"/>
        <v>0.94594594594594594</v>
      </c>
      <c r="K12" s="18" t="str">
        <f t="shared" si="7"/>
        <v/>
      </c>
      <c r="L12" s="18">
        <f t="shared" si="8"/>
        <v>0.94594594594594594</v>
      </c>
      <c r="N12" s="4" t="s">
        <v>15</v>
      </c>
      <c r="O12">
        <v>10</v>
      </c>
      <c r="Q12" s="4" t="s">
        <v>18</v>
      </c>
      <c r="R12">
        <v>212</v>
      </c>
      <c r="S12">
        <v>2</v>
      </c>
      <c r="T12">
        <v>214</v>
      </c>
      <c r="V12" s="15" t="s">
        <v>18</v>
      </c>
      <c r="W12" s="16">
        <v>0.94</v>
      </c>
      <c r="X12" s="17">
        <f t="shared" si="9"/>
        <v>0.99065420560747663</v>
      </c>
      <c r="Y12" s="17" t="str">
        <f t="shared" si="10"/>
        <v/>
      </c>
      <c r="Z12" s="17">
        <f t="shared" si="11"/>
        <v>0.99065420560747663</v>
      </c>
      <c r="AI12" s="4" t="s">
        <v>1389</v>
      </c>
      <c r="AJ12">
        <v>1126</v>
      </c>
      <c r="AK12" s="4"/>
      <c r="AL12" s="5"/>
      <c r="AM12" s="5"/>
      <c r="AN12" s="5"/>
      <c r="AP12" s="4" t="s">
        <v>65</v>
      </c>
      <c r="AQ12">
        <v>64</v>
      </c>
      <c r="AR12">
        <v>2</v>
      </c>
      <c r="AS12">
        <v>66</v>
      </c>
      <c r="AU12" s="15" t="s">
        <v>65</v>
      </c>
      <c r="AV12" s="16">
        <v>0.94</v>
      </c>
      <c r="AW12" s="17">
        <f t="shared" si="3"/>
        <v>0.96969696969696972</v>
      </c>
      <c r="AX12" s="17" t="str">
        <f t="shared" si="4"/>
        <v/>
      </c>
      <c r="AY12" s="17">
        <f t="shared" si="5"/>
        <v>0.96969696969696972</v>
      </c>
      <c r="BF12" s="4"/>
      <c r="BS12">
        <v>1126</v>
      </c>
    </row>
    <row r="13" spans="1:75" x14ac:dyDescent="0.3">
      <c r="A13" s="4"/>
      <c r="B13" s="4" t="s">
        <v>28</v>
      </c>
      <c r="C13">
        <v>42</v>
      </c>
      <c r="E13" s="4" t="s">
        <v>28</v>
      </c>
      <c r="F13">
        <v>41</v>
      </c>
      <c r="H13" s="15" t="s">
        <v>28</v>
      </c>
      <c r="I13" s="16">
        <v>0.94</v>
      </c>
      <c r="J13" s="17">
        <f t="shared" si="6"/>
        <v>0.97619047619047616</v>
      </c>
      <c r="K13" s="18" t="str">
        <f t="shared" si="7"/>
        <v/>
      </c>
      <c r="L13" s="18">
        <f t="shared" si="8"/>
        <v>0.97619047619047616</v>
      </c>
      <c r="N13" s="4" t="s">
        <v>32</v>
      </c>
      <c r="O13">
        <v>10</v>
      </c>
      <c r="Q13" s="4" t="s">
        <v>49</v>
      </c>
      <c r="R13">
        <v>149</v>
      </c>
      <c r="S13">
        <v>29</v>
      </c>
      <c r="T13">
        <v>178</v>
      </c>
      <c r="V13" s="15" t="s">
        <v>49</v>
      </c>
      <c r="W13" s="16">
        <v>0.94</v>
      </c>
      <c r="X13" s="17">
        <f t="shared" si="9"/>
        <v>0.8370786516853933</v>
      </c>
      <c r="Y13" s="17">
        <f t="shared" si="10"/>
        <v>0.8370786516853933</v>
      </c>
      <c r="Z13" s="17" t="str">
        <f t="shared" si="11"/>
        <v/>
      </c>
      <c r="AK13" s="4"/>
      <c r="AL13" s="5"/>
      <c r="AM13" s="5"/>
      <c r="AN13" s="5"/>
      <c r="AP13" s="4" t="s">
        <v>101</v>
      </c>
      <c r="AQ13">
        <v>38</v>
      </c>
      <c r="AR13">
        <v>4</v>
      </c>
      <c r="AS13">
        <v>42</v>
      </c>
      <c r="AU13" s="15" t="s">
        <v>101</v>
      </c>
      <c r="AV13" s="16">
        <v>0.94</v>
      </c>
      <c r="AW13" s="17">
        <f t="shared" si="3"/>
        <v>0.90476190476190477</v>
      </c>
      <c r="AX13" s="17">
        <f t="shared" si="4"/>
        <v>0.90476190476190477</v>
      </c>
      <c r="AY13" s="17" t="str">
        <f t="shared" si="5"/>
        <v/>
      </c>
      <c r="BF13" s="4"/>
    </row>
    <row r="14" spans="1:75" x14ac:dyDescent="0.3">
      <c r="A14" s="10"/>
      <c r="B14" s="4" t="s">
        <v>826</v>
      </c>
      <c r="C14">
        <v>118</v>
      </c>
      <c r="E14" s="4" t="s">
        <v>826</v>
      </c>
      <c r="F14">
        <v>118</v>
      </c>
      <c r="H14" s="15" t="s">
        <v>826</v>
      </c>
      <c r="I14" s="16">
        <v>0.94</v>
      </c>
      <c r="J14" s="17">
        <f t="shared" si="6"/>
        <v>1</v>
      </c>
      <c r="K14" s="18" t="str">
        <f t="shared" si="7"/>
        <v/>
      </c>
      <c r="L14" s="18">
        <f t="shared" si="8"/>
        <v>1</v>
      </c>
      <c r="N14" s="4" t="s">
        <v>38</v>
      </c>
      <c r="O14">
        <v>24</v>
      </c>
      <c r="Q14" s="4" t="s">
        <v>1389</v>
      </c>
      <c r="R14">
        <v>1059</v>
      </c>
      <c r="S14">
        <v>67</v>
      </c>
      <c r="T14">
        <v>1126</v>
      </c>
      <c r="AK14" s="4"/>
      <c r="AL14" s="5"/>
      <c r="AM14" s="5"/>
      <c r="AN14" s="5"/>
      <c r="AP14" s="4" t="s">
        <v>23</v>
      </c>
      <c r="AQ14">
        <v>57</v>
      </c>
      <c r="AR14">
        <v>9</v>
      </c>
      <c r="AS14">
        <v>66</v>
      </c>
      <c r="AU14" s="15" t="s">
        <v>23</v>
      </c>
      <c r="AV14" s="16">
        <v>0.94</v>
      </c>
      <c r="AW14" s="17">
        <f t="shared" si="3"/>
        <v>0.86363636363636365</v>
      </c>
      <c r="AX14" s="17">
        <f t="shared" si="4"/>
        <v>0.86363636363636365</v>
      </c>
      <c r="AY14" s="17" t="str">
        <f t="shared" si="5"/>
        <v/>
      </c>
      <c r="BF14" s="4"/>
      <c r="BS14" s="3" t="s">
        <v>1388</v>
      </c>
      <c r="BT14" t="s">
        <v>1390</v>
      </c>
    </row>
    <row r="15" spans="1:75" x14ac:dyDescent="0.3">
      <c r="B15" s="4" t="s">
        <v>820</v>
      </c>
      <c r="C15">
        <v>68</v>
      </c>
      <c r="E15" s="4" t="s">
        <v>820</v>
      </c>
      <c r="F15">
        <v>64</v>
      </c>
      <c r="H15" s="15" t="s">
        <v>820</v>
      </c>
      <c r="I15" s="16">
        <v>0.94</v>
      </c>
      <c r="J15" s="17">
        <f t="shared" si="6"/>
        <v>0.94117647058823528</v>
      </c>
      <c r="K15" s="18" t="str">
        <f t="shared" si="7"/>
        <v/>
      </c>
      <c r="L15" s="18">
        <f t="shared" si="8"/>
        <v>0.94117647058823528</v>
      </c>
      <c r="N15" s="4" t="s">
        <v>1389</v>
      </c>
      <c r="O15">
        <v>67</v>
      </c>
      <c r="AK15" s="10"/>
      <c r="AL15" s="11"/>
      <c r="AM15" s="11"/>
      <c r="AN15" s="11"/>
      <c r="AP15" s="4" t="s">
        <v>14</v>
      </c>
      <c r="AQ15">
        <v>107</v>
      </c>
      <c r="AR15">
        <v>15</v>
      </c>
      <c r="AS15">
        <v>122</v>
      </c>
      <c r="AU15" s="15" t="s">
        <v>14</v>
      </c>
      <c r="AV15" s="16">
        <v>0.94</v>
      </c>
      <c r="AW15" s="17">
        <f t="shared" si="3"/>
        <v>0.87704918032786883</v>
      </c>
      <c r="AX15" s="17">
        <f t="shared" si="4"/>
        <v>0.87704918032786883</v>
      </c>
      <c r="AY15" s="17" t="str">
        <f t="shared" si="5"/>
        <v/>
      </c>
      <c r="BS15" s="4" t="s">
        <v>19</v>
      </c>
      <c r="BT15">
        <v>1059</v>
      </c>
    </row>
    <row r="16" spans="1:75" x14ac:dyDescent="0.3">
      <c r="B16" s="4" t="s">
        <v>841</v>
      </c>
      <c r="C16">
        <v>103</v>
      </c>
      <c r="E16" s="4" t="s">
        <v>841</v>
      </c>
      <c r="F16">
        <v>92</v>
      </c>
      <c r="H16" s="15" t="s">
        <v>841</v>
      </c>
      <c r="I16" s="16">
        <v>0.94</v>
      </c>
      <c r="J16" s="17">
        <f t="shared" si="6"/>
        <v>0.89320388349514568</v>
      </c>
      <c r="K16" s="18">
        <f t="shared" si="7"/>
        <v>0.89320388349514568</v>
      </c>
      <c r="L16" s="18" t="str">
        <f t="shared" si="8"/>
        <v/>
      </c>
      <c r="AP16" s="4" t="s">
        <v>68</v>
      </c>
      <c r="AQ16">
        <v>60</v>
      </c>
      <c r="AR16">
        <v>2</v>
      </c>
      <c r="AS16">
        <v>62</v>
      </c>
      <c r="AU16" s="15" t="s">
        <v>68</v>
      </c>
      <c r="AV16" s="16">
        <v>0.94</v>
      </c>
      <c r="AW16" s="17">
        <f t="shared" si="3"/>
        <v>0.967741935483871</v>
      </c>
      <c r="AX16" s="17" t="str">
        <f t="shared" si="4"/>
        <v/>
      </c>
      <c r="AY16" s="17">
        <f t="shared" si="5"/>
        <v>0.967741935483871</v>
      </c>
      <c r="BS16" s="4" t="s">
        <v>53</v>
      </c>
      <c r="BT16">
        <v>67</v>
      </c>
    </row>
    <row r="17" spans="1:73" x14ac:dyDescent="0.3">
      <c r="A17" s="6"/>
      <c r="B17" s="4" t="s">
        <v>830</v>
      </c>
      <c r="C17">
        <v>121</v>
      </c>
      <c r="E17" s="4" t="s">
        <v>830</v>
      </c>
      <c r="F17">
        <v>119</v>
      </c>
      <c r="H17" s="15" t="s">
        <v>830</v>
      </c>
      <c r="I17" s="16">
        <v>0.94</v>
      </c>
      <c r="J17" s="17">
        <f t="shared" si="6"/>
        <v>0.98347107438016534</v>
      </c>
      <c r="K17" s="18" t="str">
        <f t="shared" si="7"/>
        <v/>
      </c>
      <c r="L17" s="18">
        <f t="shared" si="8"/>
        <v>0.98347107438016534</v>
      </c>
      <c r="AP17" s="4" t="s">
        <v>43</v>
      </c>
      <c r="AQ17">
        <v>44</v>
      </c>
      <c r="AS17">
        <v>44</v>
      </c>
      <c r="AU17" s="15" t="s">
        <v>43</v>
      </c>
      <c r="AV17" s="16">
        <v>0.94</v>
      </c>
      <c r="AW17" s="17">
        <f t="shared" si="3"/>
        <v>1</v>
      </c>
      <c r="AX17" s="17" t="str">
        <f t="shared" si="4"/>
        <v/>
      </c>
      <c r="AY17" s="17">
        <f t="shared" si="5"/>
        <v>1</v>
      </c>
      <c r="BK17" s="6"/>
      <c r="BM17" s="12"/>
      <c r="BS17" s="4" t="s">
        <v>1389</v>
      </c>
      <c r="BT17">
        <v>1126</v>
      </c>
    </row>
    <row r="18" spans="1:73" x14ac:dyDescent="0.3">
      <c r="B18" s="4" t="s">
        <v>832</v>
      </c>
      <c r="C18">
        <v>111</v>
      </c>
      <c r="E18" s="4" t="s">
        <v>832</v>
      </c>
      <c r="F18">
        <v>105</v>
      </c>
      <c r="H18" s="15" t="s">
        <v>832</v>
      </c>
      <c r="I18" s="16">
        <v>0.94</v>
      </c>
      <c r="J18" s="17">
        <f t="shared" si="6"/>
        <v>0.94594594594594594</v>
      </c>
      <c r="K18" s="18" t="str">
        <f t="shared" si="7"/>
        <v/>
      </c>
      <c r="L18" s="18">
        <f t="shared" si="8"/>
        <v>0.94594594594594594</v>
      </c>
      <c r="P18" s="4"/>
      <c r="AP18" s="4" t="s">
        <v>51</v>
      </c>
      <c r="AQ18">
        <v>131</v>
      </c>
      <c r="AR18">
        <v>13</v>
      </c>
      <c r="AS18">
        <v>144</v>
      </c>
      <c r="AU18" s="15" t="s">
        <v>51</v>
      </c>
      <c r="AV18" s="16">
        <v>0.94</v>
      </c>
      <c r="AW18" s="17">
        <f t="shared" si="3"/>
        <v>0.90972222222222221</v>
      </c>
      <c r="AX18" s="17">
        <f t="shared" si="4"/>
        <v>0.90972222222222221</v>
      </c>
      <c r="AY18" s="17" t="str">
        <f t="shared" si="5"/>
        <v/>
      </c>
    </row>
    <row r="19" spans="1:73" x14ac:dyDescent="0.3">
      <c r="B19" s="4" t="s">
        <v>822</v>
      </c>
      <c r="C19">
        <v>42</v>
      </c>
      <c r="E19" s="4" t="s">
        <v>822</v>
      </c>
      <c r="F19">
        <v>41</v>
      </c>
      <c r="H19" s="15" t="s">
        <v>822</v>
      </c>
      <c r="I19" s="16">
        <v>0.94</v>
      </c>
      <c r="J19" s="17">
        <f t="shared" si="6"/>
        <v>0.97619047619047616</v>
      </c>
      <c r="K19" s="18" t="str">
        <f t="shared" si="7"/>
        <v/>
      </c>
      <c r="L19" s="18">
        <f>IF(I19&lt;=J19,J19,"")</f>
        <v>0.97619047619047616</v>
      </c>
      <c r="P19" s="4"/>
      <c r="AK19" s="6"/>
      <c r="AP19" s="4" t="s">
        <v>104</v>
      </c>
      <c r="AQ19">
        <v>30</v>
      </c>
      <c r="AS19">
        <v>30</v>
      </c>
      <c r="AU19" s="15" t="s">
        <v>104</v>
      </c>
      <c r="AV19" s="16">
        <v>0.94</v>
      </c>
      <c r="AW19" s="17">
        <f t="shared" si="3"/>
        <v>1</v>
      </c>
      <c r="AX19" s="17" t="str">
        <f t="shared" si="4"/>
        <v/>
      </c>
      <c r="AY19" s="17">
        <f t="shared" si="5"/>
        <v>1</v>
      </c>
    </row>
    <row r="20" spans="1:73" x14ac:dyDescent="0.3">
      <c r="B20" s="4" t="s">
        <v>1389</v>
      </c>
      <c r="C20">
        <v>1126</v>
      </c>
      <c r="E20" s="4" t="s">
        <v>1389</v>
      </c>
      <c r="F20">
        <v>1059</v>
      </c>
      <c r="P20" s="4"/>
      <c r="AF20" s="6"/>
      <c r="AP20" s="4" t="s">
        <v>107</v>
      </c>
      <c r="AQ20">
        <v>58</v>
      </c>
      <c r="AR20">
        <v>6</v>
      </c>
      <c r="AS20">
        <v>64</v>
      </c>
      <c r="AU20" s="15" t="s">
        <v>107</v>
      </c>
      <c r="AV20" s="16">
        <v>0.94</v>
      </c>
      <c r="AW20" s="17">
        <f t="shared" si="3"/>
        <v>0.90625</v>
      </c>
      <c r="AX20" s="17">
        <f t="shared" si="4"/>
        <v>0.90625</v>
      </c>
      <c r="AY20" s="17" t="str">
        <f t="shared" si="5"/>
        <v/>
      </c>
    </row>
    <row r="21" spans="1:73" x14ac:dyDescent="0.3">
      <c r="H21" s="9"/>
      <c r="K21" s="6"/>
      <c r="M21" s="12"/>
      <c r="P21" s="4"/>
      <c r="AP21" s="4" t="s">
        <v>84</v>
      </c>
      <c r="AQ21">
        <v>83</v>
      </c>
      <c r="AR21">
        <v>1</v>
      </c>
      <c r="AS21">
        <v>84</v>
      </c>
      <c r="AU21" s="15" t="s">
        <v>84</v>
      </c>
      <c r="AV21" s="16">
        <v>0.94</v>
      </c>
      <c r="AW21" s="17">
        <f t="shared" si="3"/>
        <v>0.98809523809523814</v>
      </c>
      <c r="AX21" s="17" t="str">
        <f t="shared" si="4"/>
        <v/>
      </c>
      <c r="AY21" s="17">
        <f t="shared" si="5"/>
        <v>0.98809523809523814</v>
      </c>
      <c r="BT21" s="3" t="s">
        <v>1388</v>
      </c>
      <c r="BU21" t="s">
        <v>1394</v>
      </c>
    </row>
    <row r="22" spans="1:73" x14ac:dyDescent="0.3">
      <c r="H22" s="5"/>
      <c r="P22" s="4"/>
      <c r="AP22" s="4" t="s">
        <v>31</v>
      </c>
      <c r="AQ22">
        <v>129</v>
      </c>
      <c r="AR22">
        <v>3</v>
      </c>
      <c r="AS22">
        <v>132</v>
      </c>
      <c r="AU22" s="15" t="s">
        <v>31</v>
      </c>
      <c r="AV22" s="16">
        <v>0.94</v>
      </c>
      <c r="AW22" s="17">
        <f t="shared" si="3"/>
        <v>0.97727272727272729</v>
      </c>
      <c r="AX22" s="17" t="str">
        <f t="shared" si="4"/>
        <v/>
      </c>
      <c r="AY22" s="17">
        <f t="shared" si="5"/>
        <v>0.97727272727272729</v>
      </c>
      <c r="BT22" s="4" t="s">
        <v>17</v>
      </c>
      <c r="BU22">
        <v>4.8484848484848485E-2</v>
      </c>
    </row>
    <row r="23" spans="1:73" x14ac:dyDescent="0.3">
      <c r="H23" s="5"/>
      <c r="P23" s="4"/>
      <c r="AP23" s="4" t="s">
        <v>1389</v>
      </c>
      <c r="AQ23">
        <v>1059</v>
      </c>
      <c r="AR23">
        <v>67</v>
      </c>
      <c r="AS23">
        <v>1126</v>
      </c>
      <c r="BT23" s="4" t="s">
        <v>26</v>
      </c>
      <c r="BU23">
        <v>5.7591623036649213E-2</v>
      </c>
    </row>
    <row r="24" spans="1:73" x14ac:dyDescent="0.3">
      <c r="B24" t="s">
        <v>1416</v>
      </c>
      <c r="C24">
        <f>C20</f>
        <v>1126</v>
      </c>
      <c r="H24" s="5"/>
      <c r="P24" s="4"/>
      <c r="BT24" s="4" t="s">
        <v>40</v>
      </c>
      <c r="BU24">
        <v>7.0048309178743967E-2</v>
      </c>
    </row>
    <row r="25" spans="1:73" x14ac:dyDescent="0.3">
      <c r="B25" t="s">
        <v>1417</v>
      </c>
      <c r="C25">
        <f>S14</f>
        <v>67</v>
      </c>
      <c r="H25" s="11"/>
      <c r="BT25" s="4" t="s">
        <v>1389</v>
      </c>
      <c r="BU25">
        <v>5.9502664298401418E-2</v>
      </c>
    </row>
    <row r="26" spans="1:73" x14ac:dyDescent="0.3">
      <c r="B26" t="s">
        <v>1418</v>
      </c>
      <c r="C26" s="13">
        <f>R14/T14</f>
        <v>0.94049733570159855</v>
      </c>
    </row>
    <row r="28" spans="1:73" x14ac:dyDescent="0.3">
      <c r="BK28" s="6"/>
      <c r="BM28" s="12"/>
    </row>
    <row r="29" spans="1:73" x14ac:dyDescent="0.3">
      <c r="AP29" s="6"/>
    </row>
  </sheetData>
  <mergeCells count="7">
    <mergeCell ref="BV5:BW5"/>
    <mergeCell ref="AB1:AG1"/>
    <mergeCell ref="AI1:AN1"/>
    <mergeCell ref="AP1:AY1"/>
    <mergeCell ref="B1:L1"/>
    <mergeCell ref="N1:O1"/>
    <mergeCell ref="Q1:Z1"/>
  </mergeCells>
  <pageMargins left="0.7" right="0.7" top="0.75" bottom="0.75" header="0.3" footer="0.3"/>
  <pageSetup orientation="portrait" r:id="rId12"/>
  <drawing r:id="rId1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F072FB-39FE-4DC7-AB8B-D5ECC530E6E0}">
  <dimension ref="A1:L1127"/>
  <sheetViews>
    <sheetView topLeftCell="A2" workbookViewId="0">
      <selection activeCell="A2" sqref="A2:L1127"/>
    </sheetView>
  </sheetViews>
  <sheetFormatPr defaultRowHeight="14.4" x14ac:dyDescent="0.3"/>
  <cols>
    <col min="1" max="1" width="10.44140625" bestFit="1" customWidth="1"/>
    <col min="2" max="2" width="12.88671875" bestFit="1" customWidth="1"/>
    <col min="3" max="3" width="10.88671875" bestFit="1" customWidth="1"/>
    <col min="4" max="4" width="15.109375" bestFit="1" customWidth="1"/>
    <col min="5" max="5" width="53.21875" bestFit="1" customWidth="1"/>
    <col min="6" max="6" width="9.33203125" bestFit="1" customWidth="1"/>
    <col min="7" max="7" width="13.21875" bestFit="1" customWidth="1"/>
    <col min="8" max="8" width="12.109375" bestFit="1" customWidth="1"/>
    <col min="9" max="9" width="12" bestFit="1" customWidth="1"/>
    <col min="10" max="10" width="14.44140625" customWidth="1"/>
    <col min="11" max="11" width="9.88671875" customWidth="1"/>
  </cols>
  <sheetData>
    <row r="1" spans="1:12" x14ac:dyDescent="0.3">
      <c r="A1" t="s">
        <v>0</v>
      </c>
      <c r="B1" t="s">
        <v>1</v>
      </c>
      <c r="C1" t="s">
        <v>2</v>
      </c>
      <c r="D1" t="s">
        <v>3</v>
      </c>
      <c r="E1" t="s">
        <v>4</v>
      </c>
      <c r="F1" t="s">
        <v>5</v>
      </c>
      <c r="G1" t="s">
        <v>6</v>
      </c>
      <c r="H1" t="s">
        <v>7</v>
      </c>
      <c r="I1" t="s">
        <v>8</v>
      </c>
      <c r="J1" s="2" t="s">
        <v>9</v>
      </c>
      <c r="K1" s="2" t="s">
        <v>10</v>
      </c>
      <c r="L1" s="2" t="s">
        <v>11</v>
      </c>
    </row>
    <row r="2" spans="1:12" x14ac:dyDescent="0.3">
      <c r="A2" t="s">
        <v>12</v>
      </c>
      <c r="B2" t="s">
        <v>13</v>
      </c>
      <c r="C2" t="s">
        <v>14</v>
      </c>
      <c r="D2" t="s">
        <v>15</v>
      </c>
      <c r="E2" t="s">
        <v>16</v>
      </c>
      <c r="F2" t="s">
        <v>17</v>
      </c>
      <c r="G2" t="s">
        <v>18</v>
      </c>
      <c r="H2" s="1">
        <v>45342</v>
      </c>
      <c r="I2" s="1">
        <v>45342</v>
      </c>
      <c r="J2">
        <f>Sheet1[[#This Row],[Close Date]]-Sheet1[[#This Row],[Open Date]]</f>
        <v>0</v>
      </c>
      <c r="K2" t="str">
        <f>IF(Sheet1[[#This Row],[Actual Days]]&gt;=1,"Not Met","Met")</f>
        <v>Met</v>
      </c>
      <c r="L2" t="str">
        <f>TEXT(Sheet1[[#This Row],[Open Date]],"mmm")</f>
        <v>Feb</v>
      </c>
    </row>
    <row r="3" spans="1:12" x14ac:dyDescent="0.3">
      <c r="A3" t="s">
        <v>21</v>
      </c>
      <c r="B3" t="s">
        <v>22</v>
      </c>
      <c r="C3" t="s">
        <v>23</v>
      </c>
      <c r="D3" t="s">
        <v>24</v>
      </c>
      <c r="E3" t="s">
        <v>25</v>
      </c>
      <c r="F3" t="s">
        <v>26</v>
      </c>
      <c r="G3" t="s">
        <v>27</v>
      </c>
      <c r="H3" s="1">
        <v>45445</v>
      </c>
      <c r="I3" s="1">
        <v>45445</v>
      </c>
      <c r="J3">
        <f>Sheet1[[#This Row],[Close Date]]-Sheet1[[#This Row],[Open Date]]</f>
        <v>0</v>
      </c>
      <c r="K3" t="str">
        <f>IF(Sheet1[[#This Row],[Actual Days]]&gt;=1,"Not Met","Met")</f>
        <v>Met</v>
      </c>
      <c r="L3" t="str">
        <f>TEXT(Sheet1[[#This Row],[Open Date]],"mmm")</f>
        <v>Jun</v>
      </c>
    </row>
    <row r="4" spans="1:12" x14ac:dyDescent="0.3">
      <c r="A4" t="s">
        <v>29</v>
      </c>
      <c r="B4" t="s">
        <v>30</v>
      </c>
      <c r="C4" t="s">
        <v>31</v>
      </c>
      <c r="D4" t="s">
        <v>32</v>
      </c>
      <c r="E4" t="s">
        <v>33</v>
      </c>
      <c r="F4" t="s">
        <v>26</v>
      </c>
      <c r="G4" t="s">
        <v>34</v>
      </c>
      <c r="H4" s="1">
        <v>45331</v>
      </c>
      <c r="I4" s="1">
        <v>45331</v>
      </c>
      <c r="J4">
        <f>Sheet1[[#This Row],[Close Date]]-Sheet1[[#This Row],[Open Date]]</f>
        <v>0</v>
      </c>
      <c r="K4" t="str">
        <f>IF(Sheet1[[#This Row],[Actual Days]]&gt;=1,"Not Met","Met")</f>
        <v>Met</v>
      </c>
      <c r="L4" t="str">
        <f>TEXT(Sheet1[[#This Row],[Open Date]],"mmm")</f>
        <v>Feb</v>
      </c>
    </row>
    <row r="5" spans="1:12" x14ac:dyDescent="0.3">
      <c r="A5" t="s">
        <v>35</v>
      </c>
      <c r="B5" t="s">
        <v>36</v>
      </c>
      <c r="C5" t="s">
        <v>37</v>
      </c>
      <c r="D5" t="s">
        <v>38</v>
      </c>
      <c r="E5" t="s">
        <v>39</v>
      </c>
      <c r="F5" t="s">
        <v>40</v>
      </c>
      <c r="G5" t="s">
        <v>18</v>
      </c>
      <c r="H5" s="1">
        <v>45444</v>
      </c>
      <c r="I5" s="1">
        <v>45444</v>
      </c>
      <c r="J5">
        <f>Sheet1[[#This Row],[Close Date]]-Sheet1[[#This Row],[Open Date]]</f>
        <v>0</v>
      </c>
      <c r="K5" t="str">
        <f>IF(Sheet1[[#This Row],[Actual Days]]&gt;=1,"Not Met","Met")</f>
        <v>Met</v>
      </c>
      <c r="L5" t="str">
        <f>TEXT(Sheet1[[#This Row],[Open Date]],"mmm")</f>
        <v>Jun</v>
      </c>
    </row>
    <row r="6" spans="1:12" x14ac:dyDescent="0.3">
      <c r="A6" t="s">
        <v>41</v>
      </c>
      <c r="B6" t="s">
        <v>42</v>
      </c>
      <c r="C6" t="s">
        <v>43</v>
      </c>
      <c r="D6" t="s">
        <v>24</v>
      </c>
      <c r="E6" t="s">
        <v>44</v>
      </c>
      <c r="F6" t="s">
        <v>40</v>
      </c>
      <c r="G6" t="s">
        <v>45</v>
      </c>
      <c r="H6" s="1">
        <v>45304</v>
      </c>
      <c r="I6" s="1">
        <v>45304</v>
      </c>
      <c r="J6">
        <f>Sheet1[[#This Row],[Close Date]]-Sheet1[[#This Row],[Open Date]]</f>
        <v>0</v>
      </c>
      <c r="K6" t="str">
        <f>IF(Sheet1[[#This Row],[Actual Days]]&gt;=1,"Not Met","Met")</f>
        <v>Met</v>
      </c>
      <c r="L6" t="str">
        <f>TEXT(Sheet1[[#This Row],[Open Date]],"mmm")</f>
        <v>Jan</v>
      </c>
    </row>
    <row r="7" spans="1:12" x14ac:dyDescent="0.3">
      <c r="A7" t="s">
        <v>47</v>
      </c>
      <c r="B7" t="s">
        <v>22</v>
      </c>
      <c r="C7" t="s">
        <v>23</v>
      </c>
      <c r="D7" t="s">
        <v>15</v>
      </c>
      <c r="E7" t="s">
        <v>48</v>
      </c>
      <c r="F7" t="s">
        <v>40</v>
      </c>
      <c r="G7" t="s">
        <v>49</v>
      </c>
      <c r="H7" s="1">
        <v>45338</v>
      </c>
      <c r="I7" s="1">
        <v>45338</v>
      </c>
      <c r="J7">
        <f>Sheet1[[#This Row],[Close Date]]-Sheet1[[#This Row],[Open Date]]</f>
        <v>0</v>
      </c>
      <c r="K7" t="str">
        <f>IF(Sheet1[[#This Row],[Actual Days]]&gt;=1,"Not Met","Met")</f>
        <v>Met</v>
      </c>
      <c r="L7" t="str">
        <f>TEXT(Sheet1[[#This Row],[Open Date]],"mmm")</f>
        <v>Feb</v>
      </c>
    </row>
    <row r="8" spans="1:12" x14ac:dyDescent="0.3">
      <c r="A8" t="s">
        <v>50</v>
      </c>
      <c r="B8" t="s">
        <v>30</v>
      </c>
      <c r="C8" t="s">
        <v>51</v>
      </c>
      <c r="D8" t="s">
        <v>15</v>
      </c>
      <c r="E8" t="s">
        <v>52</v>
      </c>
      <c r="F8" t="s">
        <v>40</v>
      </c>
      <c r="G8" t="s">
        <v>45</v>
      </c>
      <c r="H8" s="1">
        <v>45314</v>
      </c>
      <c r="I8" s="1">
        <v>45315</v>
      </c>
      <c r="J8">
        <f>Sheet1[[#This Row],[Close Date]]-Sheet1[[#This Row],[Open Date]]</f>
        <v>1</v>
      </c>
      <c r="K8" t="str">
        <f>IF(Sheet1[[#This Row],[Actual Days]]&gt;=1,"Not Met","Met")</f>
        <v>Not Met</v>
      </c>
      <c r="L8" t="str">
        <f>TEXT(Sheet1[[#This Row],[Open Date]],"mmm")</f>
        <v>Jan</v>
      </c>
    </row>
    <row r="9" spans="1:12" x14ac:dyDescent="0.3">
      <c r="A9" t="s">
        <v>54</v>
      </c>
      <c r="B9" t="s">
        <v>30</v>
      </c>
      <c r="C9" t="s">
        <v>51</v>
      </c>
      <c r="D9" t="s">
        <v>38</v>
      </c>
      <c r="E9" t="s">
        <v>55</v>
      </c>
      <c r="F9" t="s">
        <v>17</v>
      </c>
      <c r="G9" t="s">
        <v>34</v>
      </c>
      <c r="H9" s="1">
        <v>45400</v>
      </c>
      <c r="I9" s="1">
        <v>45400</v>
      </c>
      <c r="J9">
        <f>Sheet1[[#This Row],[Close Date]]-Sheet1[[#This Row],[Open Date]]</f>
        <v>0</v>
      </c>
      <c r="K9" t="str">
        <f>IF(Sheet1[[#This Row],[Actual Days]]&gt;=1,"Not Met","Met")</f>
        <v>Met</v>
      </c>
      <c r="L9" t="str">
        <f>TEXT(Sheet1[[#This Row],[Open Date]],"mmm")</f>
        <v>Apr</v>
      </c>
    </row>
    <row r="10" spans="1:12" x14ac:dyDescent="0.3">
      <c r="A10" t="s">
        <v>57</v>
      </c>
      <c r="B10" t="s">
        <v>13</v>
      </c>
      <c r="C10" t="s">
        <v>14</v>
      </c>
      <c r="D10" t="s">
        <v>38</v>
      </c>
      <c r="E10" t="s">
        <v>58</v>
      </c>
      <c r="F10" t="s">
        <v>40</v>
      </c>
      <c r="G10" t="s">
        <v>59</v>
      </c>
      <c r="H10" s="1">
        <v>45428</v>
      </c>
      <c r="I10" s="1">
        <v>45429</v>
      </c>
      <c r="J10">
        <f>Sheet1[[#This Row],[Close Date]]-Sheet1[[#This Row],[Open Date]]</f>
        <v>1</v>
      </c>
      <c r="K10" t="str">
        <f>IF(Sheet1[[#This Row],[Actual Days]]&gt;=1,"Not Met","Met")</f>
        <v>Not Met</v>
      </c>
      <c r="L10" t="str">
        <f>TEXT(Sheet1[[#This Row],[Open Date]],"mmm")</f>
        <v>May</v>
      </c>
    </row>
    <row r="11" spans="1:12" x14ac:dyDescent="0.3">
      <c r="A11" t="s">
        <v>61</v>
      </c>
      <c r="B11" t="s">
        <v>36</v>
      </c>
      <c r="C11" t="s">
        <v>62</v>
      </c>
      <c r="D11" t="s">
        <v>38</v>
      </c>
      <c r="E11" t="s">
        <v>63</v>
      </c>
      <c r="F11" t="s">
        <v>26</v>
      </c>
      <c r="G11" t="s">
        <v>45</v>
      </c>
      <c r="H11" s="1">
        <v>45384</v>
      </c>
      <c r="I11" s="1">
        <v>45384</v>
      </c>
      <c r="J11">
        <f>Sheet1[[#This Row],[Close Date]]-Sheet1[[#This Row],[Open Date]]</f>
        <v>0</v>
      </c>
      <c r="K11" t="str">
        <f>IF(Sheet1[[#This Row],[Actual Days]]&gt;=1,"Not Met","Met")</f>
        <v>Met</v>
      </c>
      <c r="L11" t="str">
        <f>TEXT(Sheet1[[#This Row],[Open Date]],"mmm")</f>
        <v>Apr</v>
      </c>
    </row>
    <row r="12" spans="1:12" x14ac:dyDescent="0.3">
      <c r="A12" t="s">
        <v>64</v>
      </c>
      <c r="B12" t="s">
        <v>13</v>
      </c>
      <c r="C12" t="s">
        <v>65</v>
      </c>
      <c r="D12" t="s">
        <v>24</v>
      </c>
      <c r="E12" t="s">
        <v>66</v>
      </c>
      <c r="F12" t="s">
        <v>26</v>
      </c>
      <c r="G12" t="s">
        <v>34</v>
      </c>
      <c r="H12" s="1">
        <v>45437</v>
      </c>
      <c r="I12" s="1">
        <v>45438</v>
      </c>
      <c r="J12">
        <f>Sheet1[[#This Row],[Close Date]]-Sheet1[[#This Row],[Open Date]]</f>
        <v>1</v>
      </c>
      <c r="K12" t="str">
        <f>IF(Sheet1[[#This Row],[Actual Days]]&gt;=1,"Not Met","Met")</f>
        <v>Not Met</v>
      </c>
      <c r="L12" t="str">
        <f>TEXT(Sheet1[[#This Row],[Open Date]],"mmm")</f>
        <v>May</v>
      </c>
    </row>
    <row r="13" spans="1:12" x14ac:dyDescent="0.3">
      <c r="A13" t="s">
        <v>67</v>
      </c>
      <c r="B13" t="s">
        <v>13</v>
      </c>
      <c r="C13" t="s">
        <v>68</v>
      </c>
      <c r="D13" t="s">
        <v>38</v>
      </c>
      <c r="E13" t="s">
        <v>69</v>
      </c>
      <c r="F13" t="s">
        <v>40</v>
      </c>
      <c r="G13" t="s">
        <v>49</v>
      </c>
      <c r="H13" s="1">
        <v>45451</v>
      </c>
      <c r="I13" s="1">
        <v>45451</v>
      </c>
      <c r="J13">
        <f>Sheet1[[#This Row],[Close Date]]-Sheet1[[#This Row],[Open Date]]</f>
        <v>0</v>
      </c>
      <c r="K13" t="str">
        <f>IF(Sheet1[[#This Row],[Actual Days]]&gt;=1,"Not Met","Met")</f>
        <v>Met</v>
      </c>
      <c r="L13" t="str">
        <f>TEXT(Sheet1[[#This Row],[Open Date]],"mmm")</f>
        <v>Jun</v>
      </c>
    </row>
    <row r="14" spans="1:12" x14ac:dyDescent="0.3">
      <c r="A14" t="s">
        <v>70</v>
      </c>
      <c r="B14" t="s">
        <v>36</v>
      </c>
      <c r="C14" t="s">
        <v>37</v>
      </c>
      <c r="D14" t="s">
        <v>38</v>
      </c>
      <c r="E14" t="s">
        <v>71</v>
      </c>
      <c r="F14" t="s">
        <v>26</v>
      </c>
      <c r="G14" t="s">
        <v>59</v>
      </c>
      <c r="H14" s="1">
        <v>45344</v>
      </c>
      <c r="I14" s="1">
        <v>45344</v>
      </c>
      <c r="J14">
        <f>Sheet1[[#This Row],[Close Date]]-Sheet1[[#This Row],[Open Date]]</f>
        <v>0</v>
      </c>
      <c r="K14" t="str">
        <f>IF(Sheet1[[#This Row],[Actual Days]]&gt;=1,"Not Met","Met")</f>
        <v>Met</v>
      </c>
      <c r="L14" t="str">
        <f>TEXT(Sheet1[[#This Row],[Open Date]],"mmm")</f>
        <v>Feb</v>
      </c>
    </row>
    <row r="15" spans="1:12" x14ac:dyDescent="0.3">
      <c r="A15" t="s">
        <v>72</v>
      </c>
      <c r="B15" t="s">
        <v>13</v>
      </c>
      <c r="C15" t="s">
        <v>14</v>
      </c>
      <c r="D15" t="s">
        <v>73</v>
      </c>
      <c r="E15" t="s">
        <v>74</v>
      </c>
      <c r="F15" t="s">
        <v>17</v>
      </c>
      <c r="G15" t="s">
        <v>34</v>
      </c>
      <c r="H15" s="1">
        <v>45342</v>
      </c>
      <c r="I15" s="1">
        <v>45342</v>
      </c>
      <c r="J15">
        <f>Sheet1[[#This Row],[Close Date]]-Sheet1[[#This Row],[Open Date]]</f>
        <v>0</v>
      </c>
      <c r="K15" t="str">
        <f>IF(Sheet1[[#This Row],[Actual Days]]&gt;=1,"Not Met","Met")</f>
        <v>Met</v>
      </c>
      <c r="L15" t="str">
        <f>TEXT(Sheet1[[#This Row],[Open Date]],"mmm")</f>
        <v>Feb</v>
      </c>
    </row>
    <row r="16" spans="1:12" x14ac:dyDescent="0.3">
      <c r="A16" t="s">
        <v>75</v>
      </c>
      <c r="B16" t="s">
        <v>36</v>
      </c>
      <c r="C16" t="s">
        <v>76</v>
      </c>
      <c r="D16" t="s">
        <v>73</v>
      </c>
      <c r="E16" t="s">
        <v>77</v>
      </c>
      <c r="F16" t="s">
        <v>17</v>
      </c>
      <c r="G16" t="s">
        <v>18</v>
      </c>
      <c r="H16" s="1">
        <v>45452</v>
      </c>
      <c r="I16" s="1">
        <v>45452</v>
      </c>
      <c r="J16">
        <f>Sheet1[[#This Row],[Close Date]]-Sheet1[[#This Row],[Open Date]]</f>
        <v>0</v>
      </c>
      <c r="K16" t="str">
        <f>IF(Sheet1[[#This Row],[Actual Days]]&gt;=1,"Not Met","Met")</f>
        <v>Met</v>
      </c>
      <c r="L16" t="str">
        <f>TEXT(Sheet1[[#This Row],[Open Date]],"mmm")</f>
        <v>Jun</v>
      </c>
    </row>
    <row r="17" spans="1:12" x14ac:dyDescent="0.3">
      <c r="A17" t="s">
        <v>78</v>
      </c>
      <c r="B17" t="s">
        <v>13</v>
      </c>
      <c r="C17" t="s">
        <v>68</v>
      </c>
      <c r="D17" t="s">
        <v>32</v>
      </c>
      <c r="E17" t="s">
        <v>79</v>
      </c>
      <c r="F17" t="s">
        <v>40</v>
      </c>
      <c r="G17" t="s">
        <v>27</v>
      </c>
      <c r="H17" s="1">
        <v>45296</v>
      </c>
      <c r="I17" s="1">
        <v>45297</v>
      </c>
      <c r="J17">
        <f>Sheet1[[#This Row],[Close Date]]-Sheet1[[#This Row],[Open Date]]</f>
        <v>1</v>
      </c>
      <c r="K17" t="str">
        <f>IF(Sheet1[[#This Row],[Actual Days]]&gt;=1,"Not Met","Met")</f>
        <v>Not Met</v>
      </c>
      <c r="L17" t="str">
        <f>TEXT(Sheet1[[#This Row],[Open Date]],"mmm")</f>
        <v>Jan</v>
      </c>
    </row>
    <row r="18" spans="1:12" x14ac:dyDescent="0.3">
      <c r="A18" t="s">
        <v>80</v>
      </c>
      <c r="B18" t="s">
        <v>13</v>
      </c>
      <c r="C18" t="s">
        <v>65</v>
      </c>
      <c r="D18" t="s">
        <v>38</v>
      </c>
      <c r="E18" t="s">
        <v>81</v>
      </c>
      <c r="F18" t="s">
        <v>17</v>
      </c>
      <c r="G18" t="s">
        <v>18</v>
      </c>
      <c r="H18" s="1">
        <v>45361</v>
      </c>
      <c r="I18" s="1">
        <v>45361</v>
      </c>
      <c r="J18">
        <f>Sheet1[[#This Row],[Close Date]]-Sheet1[[#This Row],[Open Date]]</f>
        <v>0</v>
      </c>
      <c r="K18" t="str">
        <f>IF(Sheet1[[#This Row],[Actual Days]]&gt;=1,"Not Met","Met")</f>
        <v>Met</v>
      </c>
      <c r="L18" t="str">
        <f>TEXT(Sheet1[[#This Row],[Open Date]],"mmm")</f>
        <v>Mar</v>
      </c>
    </row>
    <row r="19" spans="1:12" x14ac:dyDescent="0.3">
      <c r="A19" t="s">
        <v>83</v>
      </c>
      <c r="B19" t="s">
        <v>22</v>
      </c>
      <c r="C19" t="s">
        <v>84</v>
      </c>
      <c r="D19" t="s">
        <v>38</v>
      </c>
      <c r="E19" t="s">
        <v>85</v>
      </c>
      <c r="F19" t="s">
        <v>40</v>
      </c>
      <c r="G19" t="s">
        <v>18</v>
      </c>
      <c r="H19" s="1">
        <v>45405</v>
      </c>
      <c r="I19" s="1">
        <v>45405</v>
      </c>
      <c r="J19">
        <f>Sheet1[[#This Row],[Close Date]]-Sheet1[[#This Row],[Open Date]]</f>
        <v>0</v>
      </c>
      <c r="K19" t="str">
        <f>IF(Sheet1[[#This Row],[Actual Days]]&gt;=1,"Not Met","Met")</f>
        <v>Met</v>
      </c>
      <c r="L19" t="str">
        <f>TEXT(Sheet1[[#This Row],[Open Date]],"mmm")</f>
        <v>Apr</v>
      </c>
    </row>
    <row r="20" spans="1:12" x14ac:dyDescent="0.3">
      <c r="A20" t="s">
        <v>86</v>
      </c>
      <c r="B20" t="s">
        <v>13</v>
      </c>
      <c r="C20" t="s">
        <v>14</v>
      </c>
      <c r="D20" t="s">
        <v>87</v>
      </c>
      <c r="E20" t="s">
        <v>88</v>
      </c>
      <c r="F20" t="s">
        <v>17</v>
      </c>
      <c r="G20" t="s">
        <v>45</v>
      </c>
      <c r="H20" s="1">
        <v>45296</v>
      </c>
      <c r="I20" s="1">
        <v>45296</v>
      </c>
      <c r="J20">
        <f>Sheet1[[#This Row],[Close Date]]-Sheet1[[#This Row],[Open Date]]</f>
        <v>0</v>
      </c>
      <c r="K20" t="str">
        <f>IF(Sheet1[[#This Row],[Actual Days]]&gt;=1,"Not Met","Met")</f>
        <v>Met</v>
      </c>
      <c r="L20" t="str">
        <f>TEXT(Sheet1[[#This Row],[Open Date]],"mmm")</f>
        <v>Jan</v>
      </c>
    </row>
    <row r="21" spans="1:12" x14ac:dyDescent="0.3">
      <c r="A21" t="s">
        <v>89</v>
      </c>
      <c r="B21" t="s">
        <v>13</v>
      </c>
      <c r="C21" t="s">
        <v>65</v>
      </c>
      <c r="D21" t="s">
        <v>38</v>
      </c>
      <c r="E21" t="s">
        <v>90</v>
      </c>
      <c r="F21" t="s">
        <v>17</v>
      </c>
      <c r="G21" t="s">
        <v>45</v>
      </c>
      <c r="H21" s="1">
        <v>45326</v>
      </c>
      <c r="I21" s="1">
        <v>45326</v>
      </c>
      <c r="J21">
        <f>Sheet1[[#This Row],[Close Date]]-Sheet1[[#This Row],[Open Date]]</f>
        <v>0</v>
      </c>
      <c r="K21" t="str">
        <f>IF(Sheet1[[#This Row],[Actual Days]]&gt;=1,"Not Met","Met")</f>
        <v>Met</v>
      </c>
      <c r="L21" t="str">
        <f>TEXT(Sheet1[[#This Row],[Open Date]],"mmm")</f>
        <v>Feb</v>
      </c>
    </row>
    <row r="22" spans="1:12" x14ac:dyDescent="0.3">
      <c r="A22" t="s">
        <v>91</v>
      </c>
      <c r="B22" t="s">
        <v>30</v>
      </c>
      <c r="C22" t="s">
        <v>51</v>
      </c>
      <c r="D22" t="s">
        <v>38</v>
      </c>
      <c r="E22" t="s">
        <v>92</v>
      </c>
      <c r="F22" t="s">
        <v>40</v>
      </c>
      <c r="G22" t="s">
        <v>18</v>
      </c>
      <c r="H22" s="1">
        <v>45329</v>
      </c>
      <c r="I22" s="1">
        <v>45329</v>
      </c>
      <c r="J22">
        <f>Sheet1[[#This Row],[Close Date]]-Sheet1[[#This Row],[Open Date]]</f>
        <v>0</v>
      </c>
      <c r="K22" t="str">
        <f>IF(Sheet1[[#This Row],[Actual Days]]&gt;=1,"Not Met","Met")</f>
        <v>Met</v>
      </c>
      <c r="L22" t="str">
        <f>TEXT(Sheet1[[#This Row],[Open Date]],"mmm")</f>
        <v>Feb</v>
      </c>
    </row>
    <row r="23" spans="1:12" x14ac:dyDescent="0.3">
      <c r="A23" t="s">
        <v>93</v>
      </c>
      <c r="B23" t="s">
        <v>36</v>
      </c>
      <c r="C23" t="s">
        <v>37</v>
      </c>
      <c r="D23" t="s">
        <v>94</v>
      </c>
      <c r="E23" t="s">
        <v>95</v>
      </c>
      <c r="F23" t="s">
        <v>40</v>
      </c>
      <c r="G23" t="s">
        <v>18</v>
      </c>
      <c r="H23" s="1">
        <v>45301</v>
      </c>
      <c r="I23" s="1">
        <v>45301</v>
      </c>
      <c r="J23">
        <f>Sheet1[[#This Row],[Close Date]]-Sheet1[[#This Row],[Open Date]]</f>
        <v>0</v>
      </c>
      <c r="K23" t="str">
        <f>IF(Sheet1[[#This Row],[Actual Days]]&gt;=1,"Not Met","Met")</f>
        <v>Met</v>
      </c>
      <c r="L23" t="str">
        <f>TEXT(Sheet1[[#This Row],[Open Date]],"mmm")</f>
        <v>Jan</v>
      </c>
    </row>
    <row r="24" spans="1:12" x14ac:dyDescent="0.3">
      <c r="A24" t="s">
        <v>96</v>
      </c>
      <c r="B24" t="s">
        <v>36</v>
      </c>
      <c r="C24" t="s">
        <v>76</v>
      </c>
      <c r="D24" t="s">
        <v>38</v>
      </c>
      <c r="E24" t="s">
        <v>97</v>
      </c>
      <c r="F24" t="s">
        <v>26</v>
      </c>
      <c r="G24" t="s">
        <v>59</v>
      </c>
      <c r="H24" s="1">
        <v>45413</v>
      </c>
      <c r="I24" s="1">
        <v>45414</v>
      </c>
      <c r="J24">
        <f>Sheet1[[#This Row],[Close Date]]-Sheet1[[#This Row],[Open Date]]</f>
        <v>1</v>
      </c>
      <c r="K24" t="str">
        <f>IF(Sheet1[[#This Row],[Actual Days]]&gt;=1,"Not Met","Met")</f>
        <v>Not Met</v>
      </c>
      <c r="L24" t="str">
        <f>TEXT(Sheet1[[#This Row],[Open Date]],"mmm")</f>
        <v>May</v>
      </c>
    </row>
    <row r="25" spans="1:12" x14ac:dyDescent="0.3">
      <c r="A25" t="s">
        <v>98</v>
      </c>
      <c r="B25" t="s">
        <v>13</v>
      </c>
      <c r="C25" t="s">
        <v>14</v>
      </c>
      <c r="D25" t="s">
        <v>15</v>
      </c>
      <c r="E25" t="s">
        <v>99</v>
      </c>
      <c r="F25" t="s">
        <v>17</v>
      </c>
      <c r="G25" t="s">
        <v>34</v>
      </c>
      <c r="H25" s="1">
        <v>45377</v>
      </c>
      <c r="I25" s="1">
        <v>45377</v>
      </c>
      <c r="J25">
        <f>Sheet1[[#This Row],[Close Date]]-Sheet1[[#This Row],[Open Date]]</f>
        <v>0</v>
      </c>
      <c r="K25" t="str">
        <f>IF(Sheet1[[#This Row],[Actual Days]]&gt;=1,"Not Met","Met")</f>
        <v>Met</v>
      </c>
      <c r="L25" t="str">
        <f>TEXT(Sheet1[[#This Row],[Open Date]],"mmm")</f>
        <v>Mar</v>
      </c>
    </row>
    <row r="26" spans="1:12" x14ac:dyDescent="0.3">
      <c r="A26" t="s">
        <v>100</v>
      </c>
      <c r="B26" t="s">
        <v>22</v>
      </c>
      <c r="C26" t="s">
        <v>101</v>
      </c>
      <c r="D26" t="s">
        <v>73</v>
      </c>
      <c r="E26" t="s">
        <v>102</v>
      </c>
      <c r="F26" t="s">
        <v>26</v>
      </c>
      <c r="G26" t="s">
        <v>27</v>
      </c>
      <c r="H26" s="1">
        <v>45322</v>
      </c>
      <c r="I26" s="1">
        <v>45322</v>
      </c>
      <c r="J26">
        <f>Sheet1[[#This Row],[Close Date]]-Sheet1[[#This Row],[Open Date]]</f>
        <v>0</v>
      </c>
      <c r="K26" t="str">
        <f>IF(Sheet1[[#This Row],[Actual Days]]&gt;=1,"Not Met","Met")</f>
        <v>Met</v>
      </c>
      <c r="L26" t="str">
        <f>TEXT(Sheet1[[#This Row],[Open Date]],"mmm")</f>
        <v>Jan</v>
      </c>
    </row>
    <row r="27" spans="1:12" x14ac:dyDescent="0.3">
      <c r="A27" t="s">
        <v>103</v>
      </c>
      <c r="B27" t="s">
        <v>42</v>
      </c>
      <c r="C27" t="s">
        <v>104</v>
      </c>
      <c r="D27" t="s">
        <v>24</v>
      </c>
      <c r="E27" t="s">
        <v>105</v>
      </c>
      <c r="F27" t="s">
        <v>40</v>
      </c>
      <c r="G27" t="s">
        <v>59</v>
      </c>
      <c r="H27" s="1">
        <v>45392</v>
      </c>
      <c r="I27" s="1">
        <v>45392</v>
      </c>
      <c r="J27">
        <f>Sheet1[[#This Row],[Close Date]]-Sheet1[[#This Row],[Open Date]]</f>
        <v>0</v>
      </c>
      <c r="K27" t="str">
        <f>IF(Sheet1[[#This Row],[Actual Days]]&gt;=1,"Not Met","Met")</f>
        <v>Met</v>
      </c>
      <c r="L27" t="str">
        <f>TEXT(Sheet1[[#This Row],[Open Date]],"mmm")</f>
        <v>Apr</v>
      </c>
    </row>
    <row r="28" spans="1:12" x14ac:dyDescent="0.3">
      <c r="A28" t="s">
        <v>106</v>
      </c>
      <c r="B28" t="s">
        <v>42</v>
      </c>
      <c r="C28" t="s">
        <v>107</v>
      </c>
      <c r="D28" t="s">
        <v>24</v>
      </c>
      <c r="E28" t="s">
        <v>108</v>
      </c>
      <c r="F28" t="s">
        <v>26</v>
      </c>
      <c r="G28" t="s">
        <v>34</v>
      </c>
      <c r="H28" s="1">
        <v>45315</v>
      </c>
      <c r="I28" s="1">
        <v>45316</v>
      </c>
      <c r="J28">
        <f>Sheet1[[#This Row],[Close Date]]-Sheet1[[#This Row],[Open Date]]</f>
        <v>1</v>
      </c>
      <c r="K28" t="str">
        <f>IF(Sheet1[[#This Row],[Actual Days]]&gt;=1,"Not Met","Met")</f>
        <v>Not Met</v>
      </c>
      <c r="L28" t="str">
        <f>TEXT(Sheet1[[#This Row],[Open Date]],"mmm")</f>
        <v>Jan</v>
      </c>
    </row>
    <row r="29" spans="1:12" x14ac:dyDescent="0.3">
      <c r="A29" t="s">
        <v>109</v>
      </c>
      <c r="B29" t="s">
        <v>22</v>
      </c>
      <c r="C29" t="s">
        <v>23</v>
      </c>
      <c r="D29" t="s">
        <v>24</v>
      </c>
      <c r="E29" t="s">
        <v>110</v>
      </c>
      <c r="F29" t="s">
        <v>17</v>
      </c>
      <c r="G29" t="s">
        <v>45</v>
      </c>
      <c r="H29" s="1">
        <v>45301</v>
      </c>
      <c r="I29" s="1">
        <v>45301</v>
      </c>
      <c r="J29">
        <f>Sheet1[[#This Row],[Close Date]]-Sheet1[[#This Row],[Open Date]]</f>
        <v>0</v>
      </c>
      <c r="K29" t="str">
        <f>IF(Sheet1[[#This Row],[Actual Days]]&gt;=1,"Not Met","Met")</f>
        <v>Met</v>
      </c>
      <c r="L29" t="str">
        <f>TEXT(Sheet1[[#This Row],[Open Date]],"mmm")</f>
        <v>Jan</v>
      </c>
    </row>
    <row r="30" spans="1:12" x14ac:dyDescent="0.3">
      <c r="A30" t="s">
        <v>111</v>
      </c>
      <c r="B30" t="s">
        <v>22</v>
      </c>
      <c r="C30" t="s">
        <v>84</v>
      </c>
      <c r="D30" t="s">
        <v>32</v>
      </c>
      <c r="E30" t="s">
        <v>112</v>
      </c>
      <c r="F30" t="s">
        <v>40</v>
      </c>
      <c r="G30" t="s">
        <v>49</v>
      </c>
      <c r="H30" s="1">
        <v>45314</v>
      </c>
      <c r="I30" s="1">
        <v>45314</v>
      </c>
      <c r="J30">
        <f>Sheet1[[#This Row],[Close Date]]-Sheet1[[#This Row],[Open Date]]</f>
        <v>0</v>
      </c>
      <c r="K30" t="str">
        <f>IF(Sheet1[[#This Row],[Actual Days]]&gt;=1,"Not Met","Met")</f>
        <v>Met</v>
      </c>
      <c r="L30" t="str">
        <f>TEXT(Sheet1[[#This Row],[Open Date]],"mmm")</f>
        <v>Jan</v>
      </c>
    </row>
    <row r="31" spans="1:12" x14ac:dyDescent="0.3">
      <c r="A31" t="s">
        <v>113</v>
      </c>
      <c r="B31" t="s">
        <v>13</v>
      </c>
      <c r="C31" t="s">
        <v>14</v>
      </c>
      <c r="D31" t="s">
        <v>38</v>
      </c>
      <c r="E31" t="s">
        <v>114</v>
      </c>
      <c r="F31" t="s">
        <v>17</v>
      </c>
      <c r="G31" t="s">
        <v>27</v>
      </c>
      <c r="H31" s="1">
        <v>45322</v>
      </c>
      <c r="I31" s="1">
        <v>45322</v>
      </c>
      <c r="J31">
        <f>Sheet1[[#This Row],[Close Date]]-Sheet1[[#This Row],[Open Date]]</f>
        <v>0</v>
      </c>
      <c r="K31" t="str">
        <f>IF(Sheet1[[#This Row],[Actual Days]]&gt;=1,"Not Met","Met")</f>
        <v>Met</v>
      </c>
      <c r="L31" t="str">
        <f>TEXT(Sheet1[[#This Row],[Open Date]],"mmm")</f>
        <v>Jan</v>
      </c>
    </row>
    <row r="32" spans="1:12" x14ac:dyDescent="0.3">
      <c r="A32" t="s">
        <v>115</v>
      </c>
      <c r="B32" t="s">
        <v>30</v>
      </c>
      <c r="C32" t="s">
        <v>51</v>
      </c>
      <c r="D32" t="s">
        <v>38</v>
      </c>
      <c r="E32" t="s">
        <v>116</v>
      </c>
      <c r="F32" t="s">
        <v>40</v>
      </c>
      <c r="G32" t="s">
        <v>34</v>
      </c>
      <c r="H32" s="1">
        <v>45430</v>
      </c>
      <c r="I32" s="1">
        <v>45431</v>
      </c>
      <c r="J32">
        <f>Sheet1[[#This Row],[Close Date]]-Sheet1[[#This Row],[Open Date]]</f>
        <v>1</v>
      </c>
      <c r="K32" t="str">
        <f>IF(Sheet1[[#This Row],[Actual Days]]&gt;=1,"Not Met","Met")</f>
        <v>Not Met</v>
      </c>
      <c r="L32" t="str">
        <f>TEXT(Sheet1[[#This Row],[Open Date]],"mmm")</f>
        <v>May</v>
      </c>
    </row>
    <row r="33" spans="1:12" x14ac:dyDescent="0.3">
      <c r="A33" t="s">
        <v>117</v>
      </c>
      <c r="B33" t="s">
        <v>13</v>
      </c>
      <c r="C33" t="s">
        <v>14</v>
      </c>
      <c r="D33" t="s">
        <v>87</v>
      </c>
      <c r="E33" t="s">
        <v>118</v>
      </c>
      <c r="F33" t="s">
        <v>26</v>
      </c>
      <c r="G33" t="s">
        <v>27</v>
      </c>
      <c r="H33" s="1">
        <v>45330</v>
      </c>
      <c r="I33" s="1">
        <v>45330</v>
      </c>
      <c r="J33">
        <f>Sheet1[[#This Row],[Close Date]]-Sheet1[[#This Row],[Open Date]]</f>
        <v>0</v>
      </c>
      <c r="K33" t="str">
        <f>IF(Sheet1[[#This Row],[Actual Days]]&gt;=1,"Not Met","Met")</f>
        <v>Met</v>
      </c>
      <c r="L33" t="str">
        <f>TEXT(Sheet1[[#This Row],[Open Date]],"mmm")</f>
        <v>Feb</v>
      </c>
    </row>
    <row r="34" spans="1:12" x14ac:dyDescent="0.3">
      <c r="A34" t="s">
        <v>119</v>
      </c>
      <c r="B34" t="s">
        <v>13</v>
      </c>
      <c r="C34" t="s">
        <v>68</v>
      </c>
      <c r="D34" t="s">
        <v>73</v>
      </c>
      <c r="E34" t="s">
        <v>120</v>
      </c>
      <c r="F34" t="s">
        <v>26</v>
      </c>
      <c r="G34" t="s">
        <v>45</v>
      </c>
      <c r="H34" s="1">
        <v>45304</v>
      </c>
      <c r="I34" s="1">
        <v>45304</v>
      </c>
      <c r="J34">
        <f>Sheet1[[#This Row],[Close Date]]-Sheet1[[#This Row],[Open Date]]</f>
        <v>0</v>
      </c>
      <c r="K34" t="str">
        <f>IF(Sheet1[[#This Row],[Actual Days]]&gt;=1,"Not Met","Met")</f>
        <v>Met</v>
      </c>
      <c r="L34" t="str">
        <f>TEXT(Sheet1[[#This Row],[Open Date]],"mmm")</f>
        <v>Jan</v>
      </c>
    </row>
    <row r="35" spans="1:12" x14ac:dyDescent="0.3">
      <c r="A35" t="s">
        <v>121</v>
      </c>
      <c r="B35" t="s">
        <v>36</v>
      </c>
      <c r="C35" t="s">
        <v>37</v>
      </c>
      <c r="D35" t="s">
        <v>15</v>
      </c>
      <c r="E35" t="s">
        <v>122</v>
      </c>
      <c r="F35" t="s">
        <v>26</v>
      </c>
      <c r="G35" t="s">
        <v>45</v>
      </c>
      <c r="H35" s="1">
        <v>45407</v>
      </c>
      <c r="I35" s="1">
        <v>45408</v>
      </c>
      <c r="J35">
        <f>Sheet1[[#This Row],[Close Date]]-Sheet1[[#This Row],[Open Date]]</f>
        <v>1</v>
      </c>
      <c r="K35" t="str">
        <f>IF(Sheet1[[#This Row],[Actual Days]]&gt;=1,"Not Met","Met")</f>
        <v>Not Met</v>
      </c>
      <c r="L35" t="str">
        <f>TEXT(Sheet1[[#This Row],[Open Date]],"mmm")</f>
        <v>Apr</v>
      </c>
    </row>
    <row r="36" spans="1:12" x14ac:dyDescent="0.3">
      <c r="A36" t="s">
        <v>123</v>
      </c>
      <c r="B36" t="s">
        <v>13</v>
      </c>
      <c r="C36" t="s">
        <v>65</v>
      </c>
      <c r="D36" t="s">
        <v>87</v>
      </c>
      <c r="E36" t="s">
        <v>124</v>
      </c>
      <c r="F36" t="s">
        <v>40</v>
      </c>
      <c r="G36" t="s">
        <v>27</v>
      </c>
      <c r="H36" s="1">
        <v>45319</v>
      </c>
      <c r="I36" s="1">
        <v>45319</v>
      </c>
      <c r="J36">
        <f>Sheet1[[#This Row],[Close Date]]-Sheet1[[#This Row],[Open Date]]</f>
        <v>0</v>
      </c>
      <c r="K36" t="str">
        <f>IF(Sheet1[[#This Row],[Actual Days]]&gt;=1,"Not Met","Met")</f>
        <v>Met</v>
      </c>
      <c r="L36" t="str">
        <f>TEXT(Sheet1[[#This Row],[Open Date]],"mmm")</f>
        <v>Jan</v>
      </c>
    </row>
    <row r="37" spans="1:12" x14ac:dyDescent="0.3">
      <c r="A37" t="s">
        <v>125</v>
      </c>
      <c r="B37" t="s">
        <v>36</v>
      </c>
      <c r="C37" t="s">
        <v>76</v>
      </c>
      <c r="D37" t="s">
        <v>94</v>
      </c>
      <c r="E37" t="s">
        <v>126</v>
      </c>
      <c r="F37" t="s">
        <v>17</v>
      </c>
      <c r="G37" t="s">
        <v>49</v>
      </c>
      <c r="H37" s="1">
        <v>45358</v>
      </c>
      <c r="I37" s="1">
        <v>45358</v>
      </c>
      <c r="J37">
        <f>Sheet1[[#This Row],[Close Date]]-Sheet1[[#This Row],[Open Date]]</f>
        <v>0</v>
      </c>
      <c r="K37" t="str">
        <f>IF(Sheet1[[#This Row],[Actual Days]]&gt;=1,"Not Met","Met")</f>
        <v>Met</v>
      </c>
      <c r="L37" t="str">
        <f>TEXT(Sheet1[[#This Row],[Open Date]],"mmm")</f>
        <v>Mar</v>
      </c>
    </row>
    <row r="38" spans="1:12" x14ac:dyDescent="0.3">
      <c r="A38" t="s">
        <v>127</v>
      </c>
      <c r="B38" t="s">
        <v>13</v>
      </c>
      <c r="C38" t="s">
        <v>14</v>
      </c>
      <c r="D38" t="s">
        <v>38</v>
      </c>
      <c r="E38" t="s">
        <v>128</v>
      </c>
      <c r="F38" t="s">
        <v>40</v>
      </c>
      <c r="G38" t="s">
        <v>45</v>
      </c>
      <c r="H38" s="1">
        <v>45449</v>
      </c>
      <c r="I38" s="1">
        <v>45449</v>
      </c>
      <c r="J38">
        <f>Sheet1[[#This Row],[Close Date]]-Sheet1[[#This Row],[Open Date]]</f>
        <v>0</v>
      </c>
      <c r="K38" t="str">
        <f>IF(Sheet1[[#This Row],[Actual Days]]&gt;=1,"Not Met","Met")</f>
        <v>Met</v>
      </c>
      <c r="L38" t="str">
        <f>TEXT(Sheet1[[#This Row],[Open Date]],"mmm")</f>
        <v>Jun</v>
      </c>
    </row>
    <row r="39" spans="1:12" x14ac:dyDescent="0.3">
      <c r="A39" t="s">
        <v>129</v>
      </c>
      <c r="B39" t="s">
        <v>22</v>
      </c>
      <c r="C39" t="s">
        <v>84</v>
      </c>
      <c r="D39" t="s">
        <v>15</v>
      </c>
      <c r="E39" t="s">
        <v>130</v>
      </c>
      <c r="F39" t="s">
        <v>17</v>
      </c>
      <c r="G39" t="s">
        <v>34</v>
      </c>
      <c r="H39" s="1">
        <v>45414</v>
      </c>
      <c r="I39" s="1">
        <v>45414</v>
      </c>
      <c r="J39">
        <f>Sheet1[[#This Row],[Close Date]]-Sheet1[[#This Row],[Open Date]]</f>
        <v>0</v>
      </c>
      <c r="K39" t="str">
        <f>IF(Sheet1[[#This Row],[Actual Days]]&gt;=1,"Not Met","Met")</f>
        <v>Met</v>
      </c>
      <c r="L39" t="str">
        <f>TEXT(Sheet1[[#This Row],[Open Date]],"mmm")</f>
        <v>May</v>
      </c>
    </row>
    <row r="40" spans="1:12" x14ac:dyDescent="0.3">
      <c r="A40" t="s">
        <v>131</v>
      </c>
      <c r="B40" t="s">
        <v>22</v>
      </c>
      <c r="C40" t="s">
        <v>84</v>
      </c>
      <c r="D40" t="s">
        <v>24</v>
      </c>
      <c r="E40" t="s">
        <v>132</v>
      </c>
      <c r="F40" t="s">
        <v>40</v>
      </c>
      <c r="G40" t="s">
        <v>27</v>
      </c>
      <c r="H40" s="1">
        <v>45326</v>
      </c>
      <c r="I40" s="1">
        <v>45326</v>
      </c>
      <c r="J40">
        <f>Sheet1[[#This Row],[Close Date]]-Sheet1[[#This Row],[Open Date]]</f>
        <v>0</v>
      </c>
      <c r="K40" t="str">
        <f>IF(Sheet1[[#This Row],[Actual Days]]&gt;=1,"Not Met","Met")</f>
        <v>Met</v>
      </c>
      <c r="L40" t="str">
        <f>TEXT(Sheet1[[#This Row],[Open Date]],"mmm")</f>
        <v>Feb</v>
      </c>
    </row>
    <row r="41" spans="1:12" x14ac:dyDescent="0.3">
      <c r="A41" t="s">
        <v>133</v>
      </c>
      <c r="B41" t="s">
        <v>13</v>
      </c>
      <c r="C41" t="s">
        <v>65</v>
      </c>
      <c r="D41" t="s">
        <v>73</v>
      </c>
      <c r="E41" t="s">
        <v>134</v>
      </c>
      <c r="F41" t="s">
        <v>17</v>
      </c>
      <c r="G41" t="s">
        <v>18</v>
      </c>
      <c r="H41" s="1">
        <v>45345</v>
      </c>
      <c r="I41" s="1">
        <v>45345</v>
      </c>
      <c r="J41">
        <f>Sheet1[[#This Row],[Close Date]]-Sheet1[[#This Row],[Open Date]]</f>
        <v>0</v>
      </c>
      <c r="K41" t="str">
        <f>IF(Sheet1[[#This Row],[Actual Days]]&gt;=1,"Not Met","Met")</f>
        <v>Met</v>
      </c>
      <c r="L41" t="str">
        <f>TEXT(Sheet1[[#This Row],[Open Date]],"mmm")</f>
        <v>Feb</v>
      </c>
    </row>
    <row r="42" spans="1:12" x14ac:dyDescent="0.3">
      <c r="A42" t="s">
        <v>135</v>
      </c>
      <c r="B42" t="s">
        <v>42</v>
      </c>
      <c r="C42" t="s">
        <v>107</v>
      </c>
      <c r="D42" t="s">
        <v>32</v>
      </c>
      <c r="E42" t="s">
        <v>136</v>
      </c>
      <c r="F42" t="s">
        <v>40</v>
      </c>
      <c r="G42" t="s">
        <v>27</v>
      </c>
      <c r="H42" s="1">
        <v>45359</v>
      </c>
      <c r="I42" s="1">
        <v>45360</v>
      </c>
      <c r="J42">
        <f>Sheet1[[#This Row],[Close Date]]-Sheet1[[#This Row],[Open Date]]</f>
        <v>1</v>
      </c>
      <c r="K42" t="str">
        <f>IF(Sheet1[[#This Row],[Actual Days]]&gt;=1,"Not Met","Met")</f>
        <v>Not Met</v>
      </c>
      <c r="L42" t="str">
        <f>TEXT(Sheet1[[#This Row],[Open Date]],"mmm")</f>
        <v>Mar</v>
      </c>
    </row>
    <row r="43" spans="1:12" x14ac:dyDescent="0.3">
      <c r="A43" t="s">
        <v>137</v>
      </c>
      <c r="B43" t="s">
        <v>42</v>
      </c>
      <c r="C43" t="s">
        <v>107</v>
      </c>
      <c r="D43" t="s">
        <v>38</v>
      </c>
      <c r="E43" t="s">
        <v>138</v>
      </c>
      <c r="F43" t="s">
        <v>26</v>
      </c>
      <c r="G43" t="s">
        <v>27</v>
      </c>
      <c r="H43" s="1">
        <v>45397</v>
      </c>
      <c r="I43" s="1">
        <v>45397</v>
      </c>
      <c r="J43">
        <f>Sheet1[[#This Row],[Close Date]]-Sheet1[[#This Row],[Open Date]]</f>
        <v>0</v>
      </c>
      <c r="K43" t="str">
        <f>IF(Sheet1[[#This Row],[Actual Days]]&gt;=1,"Not Met","Met")</f>
        <v>Met</v>
      </c>
      <c r="L43" t="str">
        <f>TEXT(Sheet1[[#This Row],[Open Date]],"mmm")</f>
        <v>Apr</v>
      </c>
    </row>
    <row r="44" spans="1:12" x14ac:dyDescent="0.3">
      <c r="A44" t="s">
        <v>139</v>
      </c>
      <c r="B44" t="s">
        <v>13</v>
      </c>
      <c r="C44" t="s">
        <v>14</v>
      </c>
      <c r="D44" t="s">
        <v>32</v>
      </c>
      <c r="E44" t="s">
        <v>140</v>
      </c>
      <c r="F44" t="s">
        <v>40</v>
      </c>
      <c r="G44" t="s">
        <v>18</v>
      </c>
      <c r="H44" s="1">
        <v>45394</v>
      </c>
      <c r="I44" s="1">
        <v>45394</v>
      </c>
      <c r="J44">
        <f>Sheet1[[#This Row],[Close Date]]-Sheet1[[#This Row],[Open Date]]</f>
        <v>0</v>
      </c>
      <c r="K44" t="str">
        <f>IF(Sheet1[[#This Row],[Actual Days]]&gt;=1,"Not Met","Met")</f>
        <v>Met</v>
      </c>
      <c r="L44" t="str">
        <f>TEXT(Sheet1[[#This Row],[Open Date]],"mmm")</f>
        <v>Apr</v>
      </c>
    </row>
    <row r="45" spans="1:12" x14ac:dyDescent="0.3">
      <c r="A45" t="s">
        <v>141</v>
      </c>
      <c r="B45" t="s">
        <v>22</v>
      </c>
      <c r="C45" t="s">
        <v>23</v>
      </c>
      <c r="D45" t="s">
        <v>38</v>
      </c>
      <c r="E45" t="s">
        <v>142</v>
      </c>
      <c r="F45" t="s">
        <v>26</v>
      </c>
      <c r="G45" t="s">
        <v>49</v>
      </c>
      <c r="H45" s="1">
        <v>45434</v>
      </c>
      <c r="I45" s="1">
        <v>45435</v>
      </c>
      <c r="J45">
        <f>Sheet1[[#This Row],[Close Date]]-Sheet1[[#This Row],[Open Date]]</f>
        <v>1</v>
      </c>
      <c r="K45" t="str">
        <f>IF(Sheet1[[#This Row],[Actual Days]]&gt;=1,"Not Met","Met")</f>
        <v>Not Met</v>
      </c>
      <c r="L45" t="str">
        <f>TEXT(Sheet1[[#This Row],[Open Date]],"mmm")</f>
        <v>May</v>
      </c>
    </row>
    <row r="46" spans="1:12" x14ac:dyDescent="0.3">
      <c r="A46" t="s">
        <v>143</v>
      </c>
      <c r="B46" t="s">
        <v>30</v>
      </c>
      <c r="C46" t="s">
        <v>31</v>
      </c>
      <c r="D46" t="s">
        <v>32</v>
      </c>
      <c r="E46" t="s">
        <v>144</v>
      </c>
      <c r="F46" t="s">
        <v>40</v>
      </c>
      <c r="G46" t="s">
        <v>45</v>
      </c>
      <c r="H46" s="1">
        <v>45321</v>
      </c>
      <c r="I46" s="1">
        <v>45321</v>
      </c>
      <c r="J46">
        <f>Sheet1[[#This Row],[Close Date]]-Sheet1[[#This Row],[Open Date]]</f>
        <v>0</v>
      </c>
      <c r="K46" t="str">
        <f>IF(Sheet1[[#This Row],[Actual Days]]&gt;=1,"Not Met","Met")</f>
        <v>Met</v>
      </c>
      <c r="L46" t="str">
        <f>TEXT(Sheet1[[#This Row],[Open Date]],"mmm")</f>
        <v>Jan</v>
      </c>
    </row>
    <row r="47" spans="1:12" x14ac:dyDescent="0.3">
      <c r="A47" t="s">
        <v>145</v>
      </c>
      <c r="B47" t="s">
        <v>30</v>
      </c>
      <c r="C47" t="s">
        <v>31</v>
      </c>
      <c r="D47" t="s">
        <v>24</v>
      </c>
      <c r="E47" t="s">
        <v>146</v>
      </c>
      <c r="F47" t="s">
        <v>40</v>
      </c>
      <c r="G47" t="s">
        <v>27</v>
      </c>
      <c r="H47" s="1">
        <v>45418</v>
      </c>
      <c r="I47" s="1">
        <v>45419</v>
      </c>
      <c r="J47">
        <f>Sheet1[[#This Row],[Close Date]]-Sheet1[[#This Row],[Open Date]]</f>
        <v>1</v>
      </c>
      <c r="K47" t="str">
        <f>IF(Sheet1[[#This Row],[Actual Days]]&gt;=1,"Not Met","Met")</f>
        <v>Not Met</v>
      </c>
      <c r="L47" t="str">
        <f>TEXT(Sheet1[[#This Row],[Open Date]],"mmm")</f>
        <v>May</v>
      </c>
    </row>
    <row r="48" spans="1:12" x14ac:dyDescent="0.3">
      <c r="A48" t="s">
        <v>147</v>
      </c>
      <c r="B48" t="s">
        <v>13</v>
      </c>
      <c r="C48" t="s">
        <v>14</v>
      </c>
      <c r="D48" t="s">
        <v>38</v>
      </c>
      <c r="E48" t="s">
        <v>148</v>
      </c>
      <c r="F48" t="s">
        <v>17</v>
      </c>
      <c r="G48" t="s">
        <v>18</v>
      </c>
      <c r="H48" s="1">
        <v>45439</v>
      </c>
      <c r="I48" s="1">
        <v>45439</v>
      </c>
      <c r="J48">
        <f>Sheet1[[#This Row],[Close Date]]-Sheet1[[#This Row],[Open Date]]</f>
        <v>0</v>
      </c>
      <c r="K48" t="str">
        <f>IF(Sheet1[[#This Row],[Actual Days]]&gt;=1,"Not Met","Met")</f>
        <v>Met</v>
      </c>
      <c r="L48" t="str">
        <f>TEXT(Sheet1[[#This Row],[Open Date]],"mmm")</f>
        <v>May</v>
      </c>
    </row>
    <row r="49" spans="1:12" x14ac:dyDescent="0.3">
      <c r="A49" t="s">
        <v>149</v>
      </c>
      <c r="B49" t="s">
        <v>13</v>
      </c>
      <c r="C49" t="s">
        <v>14</v>
      </c>
      <c r="D49" t="s">
        <v>38</v>
      </c>
      <c r="E49" t="s">
        <v>150</v>
      </c>
      <c r="F49" t="s">
        <v>40</v>
      </c>
      <c r="G49" t="s">
        <v>49</v>
      </c>
      <c r="H49" s="1">
        <v>45372</v>
      </c>
      <c r="I49" s="1">
        <v>45372</v>
      </c>
      <c r="J49">
        <f>Sheet1[[#This Row],[Close Date]]-Sheet1[[#This Row],[Open Date]]</f>
        <v>0</v>
      </c>
      <c r="K49" t="str">
        <f>IF(Sheet1[[#This Row],[Actual Days]]&gt;=1,"Not Met","Met")</f>
        <v>Met</v>
      </c>
      <c r="L49" t="str">
        <f>TEXT(Sheet1[[#This Row],[Open Date]],"mmm")</f>
        <v>Mar</v>
      </c>
    </row>
    <row r="50" spans="1:12" x14ac:dyDescent="0.3">
      <c r="A50" t="s">
        <v>151</v>
      </c>
      <c r="B50" t="s">
        <v>42</v>
      </c>
      <c r="C50" t="s">
        <v>104</v>
      </c>
      <c r="D50" t="s">
        <v>87</v>
      </c>
      <c r="E50" t="s">
        <v>152</v>
      </c>
      <c r="F50" t="s">
        <v>40</v>
      </c>
      <c r="G50" t="s">
        <v>34</v>
      </c>
      <c r="H50" s="1">
        <v>45470</v>
      </c>
      <c r="I50" s="1">
        <v>45470</v>
      </c>
      <c r="J50">
        <f>Sheet1[[#This Row],[Close Date]]-Sheet1[[#This Row],[Open Date]]</f>
        <v>0</v>
      </c>
      <c r="K50" t="str">
        <f>IF(Sheet1[[#This Row],[Actual Days]]&gt;=1,"Not Met","Met")</f>
        <v>Met</v>
      </c>
      <c r="L50" t="str">
        <f>TEXT(Sheet1[[#This Row],[Open Date]],"mmm")</f>
        <v>Jun</v>
      </c>
    </row>
    <row r="51" spans="1:12" x14ac:dyDescent="0.3">
      <c r="A51" t="s">
        <v>153</v>
      </c>
      <c r="B51" t="s">
        <v>42</v>
      </c>
      <c r="C51" t="s">
        <v>43</v>
      </c>
      <c r="D51" t="s">
        <v>32</v>
      </c>
      <c r="E51" t="s">
        <v>154</v>
      </c>
      <c r="F51" t="s">
        <v>40</v>
      </c>
      <c r="G51" t="s">
        <v>34</v>
      </c>
      <c r="H51" s="1">
        <v>45390</v>
      </c>
      <c r="I51" s="1">
        <v>45390</v>
      </c>
      <c r="J51">
        <f>Sheet1[[#This Row],[Close Date]]-Sheet1[[#This Row],[Open Date]]</f>
        <v>0</v>
      </c>
      <c r="K51" t="str">
        <f>IF(Sheet1[[#This Row],[Actual Days]]&gt;=1,"Not Met","Met")</f>
        <v>Met</v>
      </c>
      <c r="L51" t="str">
        <f>TEXT(Sheet1[[#This Row],[Open Date]],"mmm")</f>
        <v>Apr</v>
      </c>
    </row>
    <row r="52" spans="1:12" x14ac:dyDescent="0.3">
      <c r="A52" t="s">
        <v>155</v>
      </c>
      <c r="B52" t="s">
        <v>42</v>
      </c>
      <c r="C52" t="s">
        <v>107</v>
      </c>
      <c r="D52" t="s">
        <v>156</v>
      </c>
      <c r="E52" t="s">
        <v>157</v>
      </c>
      <c r="F52" t="s">
        <v>40</v>
      </c>
      <c r="G52" t="s">
        <v>18</v>
      </c>
      <c r="H52" s="1">
        <v>45292</v>
      </c>
      <c r="I52" s="1">
        <v>45292</v>
      </c>
      <c r="J52">
        <f>Sheet1[[#This Row],[Close Date]]-Sheet1[[#This Row],[Open Date]]</f>
        <v>0</v>
      </c>
      <c r="K52" t="str">
        <f>IF(Sheet1[[#This Row],[Actual Days]]&gt;=1,"Not Met","Met")</f>
        <v>Met</v>
      </c>
      <c r="L52" t="str">
        <f>TEXT(Sheet1[[#This Row],[Open Date]],"mmm")</f>
        <v>Jan</v>
      </c>
    </row>
    <row r="53" spans="1:12" x14ac:dyDescent="0.3">
      <c r="A53" t="s">
        <v>158</v>
      </c>
      <c r="B53" t="s">
        <v>13</v>
      </c>
      <c r="C53" t="s">
        <v>14</v>
      </c>
      <c r="D53" t="s">
        <v>94</v>
      </c>
      <c r="E53" t="s">
        <v>159</v>
      </c>
      <c r="F53" t="s">
        <v>17</v>
      </c>
      <c r="G53" t="s">
        <v>49</v>
      </c>
      <c r="H53" s="1">
        <v>45452</v>
      </c>
      <c r="I53" s="1">
        <v>45452</v>
      </c>
      <c r="J53">
        <f>Sheet1[[#This Row],[Close Date]]-Sheet1[[#This Row],[Open Date]]</f>
        <v>0</v>
      </c>
      <c r="K53" t="str">
        <f>IF(Sheet1[[#This Row],[Actual Days]]&gt;=1,"Not Met","Met")</f>
        <v>Met</v>
      </c>
      <c r="L53" t="str">
        <f>TEXT(Sheet1[[#This Row],[Open Date]],"mmm")</f>
        <v>Jun</v>
      </c>
    </row>
    <row r="54" spans="1:12" x14ac:dyDescent="0.3">
      <c r="A54" t="s">
        <v>160</v>
      </c>
      <c r="B54" t="s">
        <v>30</v>
      </c>
      <c r="C54" t="s">
        <v>161</v>
      </c>
      <c r="D54" t="s">
        <v>24</v>
      </c>
      <c r="E54" t="s">
        <v>162</v>
      </c>
      <c r="F54" t="s">
        <v>17</v>
      </c>
      <c r="G54" t="s">
        <v>45</v>
      </c>
      <c r="H54" s="1">
        <v>45423</v>
      </c>
      <c r="I54" s="1">
        <v>45423</v>
      </c>
      <c r="J54">
        <f>Sheet1[[#This Row],[Close Date]]-Sheet1[[#This Row],[Open Date]]</f>
        <v>0</v>
      </c>
      <c r="K54" t="str">
        <f>IF(Sheet1[[#This Row],[Actual Days]]&gt;=1,"Not Met","Met")</f>
        <v>Met</v>
      </c>
      <c r="L54" t="str">
        <f>TEXT(Sheet1[[#This Row],[Open Date]],"mmm")</f>
        <v>May</v>
      </c>
    </row>
    <row r="55" spans="1:12" x14ac:dyDescent="0.3">
      <c r="A55" t="s">
        <v>163</v>
      </c>
      <c r="B55" t="s">
        <v>13</v>
      </c>
      <c r="C55" t="s">
        <v>14</v>
      </c>
      <c r="D55" t="s">
        <v>32</v>
      </c>
      <c r="E55" t="s">
        <v>164</v>
      </c>
      <c r="F55" t="s">
        <v>17</v>
      </c>
      <c r="G55" t="s">
        <v>18</v>
      </c>
      <c r="H55" s="1">
        <v>45405</v>
      </c>
      <c r="I55" s="1">
        <v>45405</v>
      </c>
      <c r="J55">
        <f>Sheet1[[#This Row],[Close Date]]-Sheet1[[#This Row],[Open Date]]</f>
        <v>0</v>
      </c>
      <c r="K55" t="str">
        <f>IF(Sheet1[[#This Row],[Actual Days]]&gt;=1,"Not Met","Met")</f>
        <v>Met</v>
      </c>
      <c r="L55" t="str">
        <f>TEXT(Sheet1[[#This Row],[Open Date]],"mmm")</f>
        <v>Apr</v>
      </c>
    </row>
    <row r="56" spans="1:12" x14ac:dyDescent="0.3">
      <c r="A56" t="s">
        <v>165</v>
      </c>
      <c r="B56" t="s">
        <v>22</v>
      </c>
      <c r="C56" t="s">
        <v>84</v>
      </c>
      <c r="D56" t="s">
        <v>38</v>
      </c>
      <c r="E56" t="s">
        <v>166</v>
      </c>
      <c r="F56" t="s">
        <v>40</v>
      </c>
      <c r="G56" t="s">
        <v>34</v>
      </c>
      <c r="H56" s="1">
        <v>45423</v>
      </c>
      <c r="I56" s="1">
        <v>45423</v>
      </c>
      <c r="J56">
        <f>Sheet1[[#This Row],[Close Date]]-Sheet1[[#This Row],[Open Date]]</f>
        <v>0</v>
      </c>
      <c r="K56" t="str">
        <f>IF(Sheet1[[#This Row],[Actual Days]]&gt;=1,"Not Met","Met")</f>
        <v>Met</v>
      </c>
      <c r="L56" t="str">
        <f>TEXT(Sheet1[[#This Row],[Open Date]],"mmm")</f>
        <v>May</v>
      </c>
    </row>
    <row r="57" spans="1:12" x14ac:dyDescent="0.3">
      <c r="A57" t="s">
        <v>167</v>
      </c>
      <c r="B57" t="s">
        <v>36</v>
      </c>
      <c r="C57" t="s">
        <v>76</v>
      </c>
      <c r="D57" t="s">
        <v>87</v>
      </c>
      <c r="E57" t="s">
        <v>168</v>
      </c>
      <c r="F57" t="s">
        <v>17</v>
      </c>
      <c r="G57" t="s">
        <v>59</v>
      </c>
      <c r="H57" s="1">
        <v>45304</v>
      </c>
      <c r="I57" s="1">
        <v>45305</v>
      </c>
      <c r="J57">
        <f>Sheet1[[#This Row],[Close Date]]-Sheet1[[#This Row],[Open Date]]</f>
        <v>1</v>
      </c>
      <c r="K57" t="str">
        <f>IF(Sheet1[[#This Row],[Actual Days]]&gt;=1,"Not Met","Met")</f>
        <v>Not Met</v>
      </c>
      <c r="L57" t="str">
        <f>TEXT(Sheet1[[#This Row],[Open Date]],"mmm")</f>
        <v>Jan</v>
      </c>
    </row>
    <row r="58" spans="1:12" x14ac:dyDescent="0.3">
      <c r="A58" t="s">
        <v>169</v>
      </c>
      <c r="B58" t="s">
        <v>36</v>
      </c>
      <c r="C58" t="s">
        <v>76</v>
      </c>
      <c r="D58" t="s">
        <v>73</v>
      </c>
      <c r="E58" t="s">
        <v>170</v>
      </c>
      <c r="F58" t="s">
        <v>26</v>
      </c>
      <c r="G58" t="s">
        <v>49</v>
      </c>
      <c r="H58" s="1">
        <v>45431</v>
      </c>
      <c r="I58" s="1">
        <v>45431</v>
      </c>
      <c r="J58">
        <f>Sheet1[[#This Row],[Close Date]]-Sheet1[[#This Row],[Open Date]]</f>
        <v>0</v>
      </c>
      <c r="K58" t="str">
        <f>IF(Sheet1[[#This Row],[Actual Days]]&gt;=1,"Not Met","Met")</f>
        <v>Met</v>
      </c>
      <c r="L58" t="str">
        <f>TEXT(Sheet1[[#This Row],[Open Date]],"mmm")</f>
        <v>May</v>
      </c>
    </row>
    <row r="59" spans="1:12" x14ac:dyDescent="0.3">
      <c r="A59" t="s">
        <v>171</v>
      </c>
      <c r="B59" t="s">
        <v>13</v>
      </c>
      <c r="C59" t="s">
        <v>65</v>
      </c>
      <c r="D59" t="s">
        <v>94</v>
      </c>
      <c r="E59" t="s">
        <v>172</v>
      </c>
      <c r="F59" t="s">
        <v>17</v>
      </c>
      <c r="G59" t="s">
        <v>49</v>
      </c>
      <c r="H59" s="1">
        <v>45396</v>
      </c>
      <c r="I59" s="1">
        <v>45396</v>
      </c>
      <c r="J59">
        <f>Sheet1[[#This Row],[Close Date]]-Sheet1[[#This Row],[Open Date]]</f>
        <v>0</v>
      </c>
      <c r="K59" t="str">
        <f>IF(Sheet1[[#This Row],[Actual Days]]&gt;=1,"Not Met","Met")</f>
        <v>Met</v>
      </c>
      <c r="L59" t="str">
        <f>TEXT(Sheet1[[#This Row],[Open Date]],"mmm")</f>
        <v>Apr</v>
      </c>
    </row>
    <row r="60" spans="1:12" x14ac:dyDescent="0.3">
      <c r="A60" t="s">
        <v>173</v>
      </c>
      <c r="B60" t="s">
        <v>36</v>
      </c>
      <c r="C60" t="s">
        <v>62</v>
      </c>
      <c r="D60" t="s">
        <v>38</v>
      </c>
      <c r="E60" t="s">
        <v>174</v>
      </c>
      <c r="F60" t="s">
        <v>26</v>
      </c>
      <c r="G60" t="s">
        <v>59</v>
      </c>
      <c r="H60" s="1">
        <v>45389</v>
      </c>
      <c r="I60" s="1">
        <v>45390</v>
      </c>
      <c r="J60">
        <f>Sheet1[[#This Row],[Close Date]]-Sheet1[[#This Row],[Open Date]]</f>
        <v>1</v>
      </c>
      <c r="K60" t="str">
        <f>IF(Sheet1[[#This Row],[Actual Days]]&gt;=1,"Not Met","Met")</f>
        <v>Not Met</v>
      </c>
      <c r="L60" t="str">
        <f>TEXT(Sheet1[[#This Row],[Open Date]],"mmm")</f>
        <v>Apr</v>
      </c>
    </row>
    <row r="61" spans="1:12" x14ac:dyDescent="0.3">
      <c r="A61" t="s">
        <v>175</v>
      </c>
      <c r="B61" t="s">
        <v>22</v>
      </c>
      <c r="C61" t="s">
        <v>84</v>
      </c>
      <c r="D61" t="s">
        <v>24</v>
      </c>
      <c r="E61" t="s">
        <v>176</v>
      </c>
      <c r="F61" t="s">
        <v>40</v>
      </c>
      <c r="G61" t="s">
        <v>49</v>
      </c>
      <c r="H61" s="1">
        <v>45416</v>
      </c>
      <c r="I61" s="1">
        <v>45416</v>
      </c>
      <c r="J61">
        <f>Sheet1[[#This Row],[Close Date]]-Sheet1[[#This Row],[Open Date]]</f>
        <v>0</v>
      </c>
      <c r="K61" t="str">
        <f>IF(Sheet1[[#This Row],[Actual Days]]&gt;=1,"Not Met","Met")</f>
        <v>Met</v>
      </c>
      <c r="L61" t="str">
        <f>TEXT(Sheet1[[#This Row],[Open Date]],"mmm")</f>
        <v>May</v>
      </c>
    </row>
    <row r="62" spans="1:12" x14ac:dyDescent="0.3">
      <c r="A62" t="s">
        <v>177</v>
      </c>
      <c r="B62" t="s">
        <v>13</v>
      </c>
      <c r="C62" t="s">
        <v>14</v>
      </c>
      <c r="D62" t="s">
        <v>38</v>
      </c>
      <c r="E62" t="s">
        <v>178</v>
      </c>
      <c r="F62" t="s">
        <v>17</v>
      </c>
      <c r="G62" t="s">
        <v>49</v>
      </c>
      <c r="H62" s="1">
        <v>45342</v>
      </c>
      <c r="I62" s="1">
        <v>45343</v>
      </c>
      <c r="J62">
        <f>Sheet1[[#This Row],[Close Date]]-Sheet1[[#This Row],[Open Date]]</f>
        <v>1</v>
      </c>
      <c r="K62" t="str">
        <f>IF(Sheet1[[#This Row],[Actual Days]]&gt;=1,"Not Met","Met")</f>
        <v>Not Met</v>
      </c>
      <c r="L62" t="str">
        <f>TEXT(Sheet1[[#This Row],[Open Date]],"mmm")</f>
        <v>Feb</v>
      </c>
    </row>
    <row r="63" spans="1:12" x14ac:dyDescent="0.3">
      <c r="A63" t="s">
        <v>179</v>
      </c>
      <c r="B63" t="s">
        <v>30</v>
      </c>
      <c r="C63" t="s">
        <v>51</v>
      </c>
      <c r="D63" t="s">
        <v>38</v>
      </c>
      <c r="E63" t="s">
        <v>180</v>
      </c>
      <c r="F63" t="s">
        <v>40</v>
      </c>
      <c r="G63" t="s">
        <v>34</v>
      </c>
      <c r="H63" s="1">
        <v>45430</v>
      </c>
      <c r="I63" s="1">
        <v>45430</v>
      </c>
      <c r="J63">
        <f>Sheet1[[#This Row],[Close Date]]-Sheet1[[#This Row],[Open Date]]</f>
        <v>0</v>
      </c>
      <c r="K63" t="str">
        <f>IF(Sheet1[[#This Row],[Actual Days]]&gt;=1,"Not Met","Met")</f>
        <v>Met</v>
      </c>
      <c r="L63" t="str">
        <f>TEXT(Sheet1[[#This Row],[Open Date]],"mmm")</f>
        <v>May</v>
      </c>
    </row>
    <row r="64" spans="1:12" x14ac:dyDescent="0.3">
      <c r="A64" t="s">
        <v>181</v>
      </c>
      <c r="B64" t="s">
        <v>13</v>
      </c>
      <c r="C64" t="s">
        <v>65</v>
      </c>
      <c r="D64" t="s">
        <v>87</v>
      </c>
      <c r="E64" t="s">
        <v>182</v>
      </c>
      <c r="F64" t="s">
        <v>26</v>
      </c>
      <c r="G64" t="s">
        <v>59</v>
      </c>
      <c r="H64" s="1">
        <v>45390</v>
      </c>
      <c r="I64" s="1">
        <v>45390</v>
      </c>
      <c r="J64">
        <f>Sheet1[[#This Row],[Close Date]]-Sheet1[[#This Row],[Open Date]]</f>
        <v>0</v>
      </c>
      <c r="K64" t="str">
        <f>IF(Sheet1[[#This Row],[Actual Days]]&gt;=1,"Not Met","Met")</f>
        <v>Met</v>
      </c>
      <c r="L64" t="str">
        <f>TEXT(Sheet1[[#This Row],[Open Date]],"mmm")</f>
        <v>Apr</v>
      </c>
    </row>
    <row r="65" spans="1:12" x14ac:dyDescent="0.3">
      <c r="A65" t="s">
        <v>183</v>
      </c>
      <c r="B65" t="s">
        <v>13</v>
      </c>
      <c r="C65" t="s">
        <v>68</v>
      </c>
      <c r="D65" t="s">
        <v>24</v>
      </c>
      <c r="E65" t="s">
        <v>184</v>
      </c>
      <c r="F65" t="s">
        <v>26</v>
      </c>
      <c r="G65" t="s">
        <v>49</v>
      </c>
      <c r="H65" s="1">
        <v>45352</v>
      </c>
      <c r="I65" s="1">
        <v>45352</v>
      </c>
      <c r="J65">
        <f>Sheet1[[#This Row],[Close Date]]-Sheet1[[#This Row],[Open Date]]</f>
        <v>0</v>
      </c>
      <c r="K65" t="str">
        <f>IF(Sheet1[[#This Row],[Actual Days]]&gt;=1,"Not Met","Met")</f>
        <v>Met</v>
      </c>
      <c r="L65" t="str">
        <f>TEXT(Sheet1[[#This Row],[Open Date]],"mmm")</f>
        <v>Mar</v>
      </c>
    </row>
    <row r="66" spans="1:12" x14ac:dyDescent="0.3">
      <c r="A66" t="s">
        <v>185</v>
      </c>
      <c r="B66" t="s">
        <v>30</v>
      </c>
      <c r="C66" t="s">
        <v>51</v>
      </c>
      <c r="D66" t="s">
        <v>38</v>
      </c>
      <c r="E66" t="s">
        <v>186</v>
      </c>
      <c r="F66" t="s">
        <v>40</v>
      </c>
      <c r="G66" t="s">
        <v>18</v>
      </c>
      <c r="H66" s="1">
        <v>45421</v>
      </c>
      <c r="I66" s="1">
        <v>45421</v>
      </c>
      <c r="J66">
        <f>Sheet1[[#This Row],[Close Date]]-Sheet1[[#This Row],[Open Date]]</f>
        <v>0</v>
      </c>
      <c r="K66" t="str">
        <f>IF(Sheet1[[#This Row],[Actual Days]]&gt;=1,"Not Met","Met")</f>
        <v>Met</v>
      </c>
      <c r="L66" t="str">
        <f>TEXT(Sheet1[[#This Row],[Open Date]],"mmm")</f>
        <v>May</v>
      </c>
    </row>
    <row r="67" spans="1:12" x14ac:dyDescent="0.3">
      <c r="A67" t="s">
        <v>187</v>
      </c>
      <c r="B67" t="s">
        <v>30</v>
      </c>
      <c r="C67" t="s">
        <v>161</v>
      </c>
      <c r="D67" t="s">
        <v>32</v>
      </c>
      <c r="E67" t="s">
        <v>188</v>
      </c>
      <c r="F67" t="s">
        <v>40</v>
      </c>
      <c r="G67" t="s">
        <v>18</v>
      </c>
      <c r="H67" s="1">
        <v>45309</v>
      </c>
      <c r="I67" s="1">
        <v>45309</v>
      </c>
      <c r="J67">
        <f>Sheet1[[#This Row],[Close Date]]-Sheet1[[#This Row],[Open Date]]</f>
        <v>0</v>
      </c>
      <c r="K67" t="str">
        <f>IF(Sheet1[[#This Row],[Actual Days]]&gt;=1,"Not Met","Met")</f>
        <v>Met</v>
      </c>
      <c r="L67" t="str">
        <f>TEXT(Sheet1[[#This Row],[Open Date]],"mmm")</f>
        <v>Jan</v>
      </c>
    </row>
    <row r="68" spans="1:12" x14ac:dyDescent="0.3">
      <c r="A68" t="s">
        <v>189</v>
      </c>
      <c r="B68" t="s">
        <v>13</v>
      </c>
      <c r="C68" t="s">
        <v>65</v>
      </c>
      <c r="D68" t="s">
        <v>73</v>
      </c>
      <c r="E68" t="s">
        <v>190</v>
      </c>
      <c r="F68" t="s">
        <v>17</v>
      </c>
      <c r="G68" t="s">
        <v>18</v>
      </c>
      <c r="H68" s="1">
        <v>45439</v>
      </c>
      <c r="I68" s="1">
        <v>45439</v>
      </c>
      <c r="J68">
        <f>Sheet1[[#This Row],[Close Date]]-Sheet1[[#This Row],[Open Date]]</f>
        <v>0</v>
      </c>
      <c r="K68" t="str">
        <f>IF(Sheet1[[#This Row],[Actual Days]]&gt;=1,"Not Met","Met")</f>
        <v>Met</v>
      </c>
      <c r="L68" t="str">
        <f>TEXT(Sheet1[[#This Row],[Open Date]],"mmm")</f>
        <v>May</v>
      </c>
    </row>
    <row r="69" spans="1:12" x14ac:dyDescent="0.3">
      <c r="A69" t="s">
        <v>191</v>
      </c>
      <c r="B69" t="s">
        <v>30</v>
      </c>
      <c r="C69" t="s">
        <v>31</v>
      </c>
      <c r="D69" t="s">
        <v>24</v>
      </c>
      <c r="E69" t="s">
        <v>192</v>
      </c>
      <c r="F69" t="s">
        <v>26</v>
      </c>
      <c r="G69" t="s">
        <v>27</v>
      </c>
      <c r="H69" s="1">
        <v>45406</v>
      </c>
      <c r="I69" s="1">
        <v>45406</v>
      </c>
      <c r="J69">
        <f>Sheet1[[#This Row],[Close Date]]-Sheet1[[#This Row],[Open Date]]</f>
        <v>0</v>
      </c>
      <c r="K69" t="str">
        <f>IF(Sheet1[[#This Row],[Actual Days]]&gt;=1,"Not Met","Met")</f>
        <v>Met</v>
      </c>
      <c r="L69" t="str">
        <f>TEXT(Sheet1[[#This Row],[Open Date]],"mmm")</f>
        <v>Apr</v>
      </c>
    </row>
    <row r="70" spans="1:12" x14ac:dyDescent="0.3">
      <c r="A70" t="s">
        <v>193</v>
      </c>
      <c r="B70" t="s">
        <v>13</v>
      </c>
      <c r="C70" t="s">
        <v>14</v>
      </c>
      <c r="D70" t="s">
        <v>73</v>
      </c>
      <c r="E70" t="s">
        <v>194</v>
      </c>
      <c r="F70" t="s">
        <v>26</v>
      </c>
      <c r="G70" t="s">
        <v>34</v>
      </c>
      <c r="H70" s="1">
        <v>45294</v>
      </c>
      <c r="I70" s="1">
        <v>45294</v>
      </c>
      <c r="J70">
        <f>Sheet1[[#This Row],[Close Date]]-Sheet1[[#This Row],[Open Date]]</f>
        <v>0</v>
      </c>
      <c r="K70" t="str">
        <f>IF(Sheet1[[#This Row],[Actual Days]]&gt;=1,"Not Met","Met")</f>
        <v>Met</v>
      </c>
      <c r="L70" t="str">
        <f>TEXT(Sheet1[[#This Row],[Open Date]],"mmm")</f>
        <v>Jan</v>
      </c>
    </row>
    <row r="71" spans="1:12" x14ac:dyDescent="0.3">
      <c r="A71" t="s">
        <v>195</v>
      </c>
      <c r="B71" t="s">
        <v>30</v>
      </c>
      <c r="C71" t="s">
        <v>161</v>
      </c>
      <c r="D71" t="s">
        <v>15</v>
      </c>
      <c r="E71" t="s">
        <v>196</v>
      </c>
      <c r="F71" t="s">
        <v>17</v>
      </c>
      <c r="G71" t="s">
        <v>45</v>
      </c>
      <c r="H71" s="1">
        <v>45408</v>
      </c>
      <c r="I71" s="1">
        <v>45408</v>
      </c>
      <c r="J71">
        <f>Sheet1[[#This Row],[Close Date]]-Sheet1[[#This Row],[Open Date]]</f>
        <v>0</v>
      </c>
      <c r="K71" t="str">
        <f>IF(Sheet1[[#This Row],[Actual Days]]&gt;=1,"Not Met","Met")</f>
        <v>Met</v>
      </c>
      <c r="L71" t="str">
        <f>TEXT(Sheet1[[#This Row],[Open Date]],"mmm")</f>
        <v>Apr</v>
      </c>
    </row>
    <row r="72" spans="1:12" x14ac:dyDescent="0.3">
      <c r="A72" t="s">
        <v>197</v>
      </c>
      <c r="B72" t="s">
        <v>22</v>
      </c>
      <c r="C72" t="s">
        <v>101</v>
      </c>
      <c r="D72" t="s">
        <v>24</v>
      </c>
      <c r="E72" t="s">
        <v>198</v>
      </c>
      <c r="F72" t="s">
        <v>40</v>
      </c>
      <c r="G72" t="s">
        <v>27</v>
      </c>
      <c r="H72" s="1">
        <v>45345</v>
      </c>
      <c r="I72" s="1">
        <v>45345</v>
      </c>
      <c r="J72">
        <f>Sheet1[[#This Row],[Close Date]]-Sheet1[[#This Row],[Open Date]]</f>
        <v>0</v>
      </c>
      <c r="K72" t="str">
        <f>IF(Sheet1[[#This Row],[Actual Days]]&gt;=1,"Not Met","Met")</f>
        <v>Met</v>
      </c>
      <c r="L72" t="str">
        <f>TEXT(Sheet1[[#This Row],[Open Date]],"mmm")</f>
        <v>Feb</v>
      </c>
    </row>
    <row r="73" spans="1:12" x14ac:dyDescent="0.3">
      <c r="A73" t="s">
        <v>199</v>
      </c>
      <c r="B73" t="s">
        <v>30</v>
      </c>
      <c r="C73" t="s">
        <v>161</v>
      </c>
      <c r="D73" t="s">
        <v>24</v>
      </c>
      <c r="E73" t="s">
        <v>200</v>
      </c>
      <c r="F73" t="s">
        <v>17</v>
      </c>
      <c r="G73" t="s">
        <v>34</v>
      </c>
      <c r="H73" s="1">
        <v>45397</v>
      </c>
      <c r="I73" s="1">
        <v>45397</v>
      </c>
      <c r="J73">
        <f>Sheet1[[#This Row],[Close Date]]-Sheet1[[#This Row],[Open Date]]</f>
        <v>0</v>
      </c>
      <c r="K73" t="str">
        <f>IF(Sheet1[[#This Row],[Actual Days]]&gt;=1,"Not Met","Met")</f>
        <v>Met</v>
      </c>
      <c r="L73" t="str">
        <f>TEXT(Sheet1[[#This Row],[Open Date]],"mmm")</f>
        <v>Apr</v>
      </c>
    </row>
    <row r="74" spans="1:12" x14ac:dyDescent="0.3">
      <c r="A74" t="s">
        <v>201</v>
      </c>
      <c r="B74" t="s">
        <v>22</v>
      </c>
      <c r="C74" t="s">
        <v>84</v>
      </c>
      <c r="D74" t="s">
        <v>94</v>
      </c>
      <c r="E74" t="s">
        <v>202</v>
      </c>
      <c r="F74" t="s">
        <v>17</v>
      </c>
      <c r="G74" t="s">
        <v>45</v>
      </c>
      <c r="H74" s="1">
        <v>45386</v>
      </c>
      <c r="I74" s="1">
        <v>45386</v>
      </c>
      <c r="J74">
        <f>Sheet1[[#This Row],[Close Date]]-Sheet1[[#This Row],[Open Date]]</f>
        <v>0</v>
      </c>
      <c r="K74" t="str">
        <f>IF(Sheet1[[#This Row],[Actual Days]]&gt;=1,"Not Met","Met")</f>
        <v>Met</v>
      </c>
      <c r="L74" t="str">
        <f>TEXT(Sheet1[[#This Row],[Open Date]],"mmm")</f>
        <v>Apr</v>
      </c>
    </row>
    <row r="75" spans="1:12" x14ac:dyDescent="0.3">
      <c r="A75" t="s">
        <v>203</v>
      </c>
      <c r="B75" t="s">
        <v>22</v>
      </c>
      <c r="C75" t="s">
        <v>101</v>
      </c>
      <c r="D75" t="s">
        <v>15</v>
      </c>
      <c r="E75" t="s">
        <v>204</v>
      </c>
      <c r="F75" t="s">
        <v>26</v>
      </c>
      <c r="G75" t="s">
        <v>45</v>
      </c>
      <c r="H75" s="1">
        <v>45437</v>
      </c>
      <c r="I75" s="1">
        <v>45437</v>
      </c>
      <c r="J75">
        <f>Sheet1[[#This Row],[Close Date]]-Sheet1[[#This Row],[Open Date]]</f>
        <v>0</v>
      </c>
      <c r="K75" t="str">
        <f>IF(Sheet1[[#This Row],[Actual Days]]&gt;=1,"Not Met","Met")</f>
        <v>Met</v>
      </c>
      <c r="L75" t="str">
        <f>TEXT(Sheet1[[#This Row],[Open Date]],"mmm")</f>
        <v>May</v>
      </c>
    </row>
    <row r="76" spans="1:12" x14ac:dyDescent="0.3">
      <c r="A76" t="s">
        <v>205</v>
      </c>
      <c r="B76" t="s">
        <v>22</v>
      </c>
      <c r="C76" t="s">
        <v>101</v>
      </c>
      <c r="D76" t="s">
        <v>24</v>
      </c>
      <c r="E76" t="s">
        <v>206</v>
      </c>
      <c r="F76" t="s">
        <v>26</v>
      </c>
      <c r="G76" t="s">
        <v>45</v>
      </c>
      <c r="H76" s="1">
        <v>45388</v>
      </c>
      <c r="I76" s="1">
        <v>45388</v>
      </c>
      <c r="J76">
        <f>Sheet1[[#This Row],[Close Date]]-Sheet1[[#This Row],[Open Date]]</f>
        <v>0</v>
      </c>
      <c r="K76" t="str">
        <f>IF(Sheet1[[#This Row],[Actual Days]]&gt;=1,"Not Met","Met")</f>
        <v>Met</v>
      </c>
      <c r="L76" t="str">
        <f>TEXT(Sheet1[[#This Row],[Open Date]],"mmm")</f>
        <v>Apr</v>
      </c>
    </row>
    <row r="77" spans="1:12" x14ac:dyDescent="0.3">
      <c r="A77" t="s">
        <v>207</v>
      </c>
      <c r="B77" t="s">
        <v>13</v>
      </c>
      <c r="C77" t="s">
        <v>65</v>
      </c>
      <c r="D77" t="s">
        <v>94</v>
      </c>
      <c r="E77" t="s">
        <v>208</v>
      </c>
      <c r="F77" t="s">
        <v>26</v>
      </c>
      <c r="G77" t="s">
        <v>27</v>
      </c>
      <c r="H77" s="1">
        <v>45371</v>
      </c>
      <c r="I77" s="1">
        <v>45371</v>
      </c>
      <c r="J77">
        <f>Sheet1[[#This Row],[Close Date]]-Sheet1[[#This Row],[Open Date]]</f>
        <v>0</v>
      </c>
      <c r="K77" t="str">
        <f>IF(Sheet1[[#This Row],[Actual Days]]&gt;=1,"Not Met","Met")</f>
        <v>Met</v>
      </c>
      <c r="L77" t="str">
        <f>TEXT(Sheet1[[#This Row],[Open Date]],"mmm")</f>
        <v>Mar</v>
      </c>
    </row>
    <row r="78" spans="1:12" x14ac:dyDescent="0.3">
      <c r="A78" t="s">
        <v>209</v>
      </c>
      <c r="B78" t="s">
        <v>22</v>
      </c>
      <c r="C78" t="s">
        <v>84</v>
      </c>
      <c r="D78" t="s">
        <v>24</v>
      </c>
      <c r="E78" t="s">
        <v>210</v>
      </c>
      <c r="F78" t="s">
        <v>26</v>
      </c>
      <c r="G78" t="s">
        <v>34</v>
      </c>
      <c r="H78" s="1">
        <v>45360</v>
      </c>
      <c r="I78" s="1">
        <v>45360</v>
      </c>
      <c r="J78">
        <f>Sheet1[[#This Row],[Close Date]]-Sheet1[[#This Row],[Open Date]]</f>
        <v>0</v>
      </c>
      <c r="K78" t="str">
        <f>IF(Sheet1[[#This Row],[Actual Days]]&gt;=1,"Not Met","Met")</f>
        <v>Met</v>
      </c>
      <c r="L78" t="str">
        <f>TEXT(Sheet1[[#This Row],[Open Date]],"mmm")</f>
        <v>Mar</v>
      </c>
    </row>
    <row r="79" spans="1:12" x14ac:dyDescent="0.3">
      <c r="A79" t="s">
        <v>211</v>
      </c>
      <c r="B79" t="s">
        <v>13</v>
      </c>
      <c r="C79" t="s">
        <v>68</v>
      </c>
      <c r="D79" t="s">
        <v>32</v>
      </c>
      <c r="E79" t="s">
        <v>212</v>
      </c>
      <c r="F79" t="s">
        <v>17</v>
      </c>
      <c r="G79" t="s">
        <v>45</v>
      </c>
      <c r="H79" s="1">
        <v>45434</v>
      </c>
      <c r="I79" s="1">
        <v>45434</v>
      </c>
      <c r="J79">
        <f>Sheet1[[#This Row],[Close Date]]-Sheet1[[#This Row],[Open Date]]</f>
        <v>0</v>
      </c>
      <c r="K79" t="str">
        <f>IF(Sheet1[[#This Row],[Actual Days]]&gt;=1,"Not Met","Met")</f>
        <v>Met</v>
      </c>
      <c r="L79" t="str">
        <f>TEXT(Sheet1[[#This Row],[Open Date]],"mmm")</f>
        <v>May</v>
      </c>
    </row>
    <row r="80" spans="1:12" x14ac:dyDescent="0.3">
      <c r="A80" t="s">
        <v>213</v>
      </c>
      <c r="B80" t="s">
        <v>30</v>
      </c>
      <c r="C80" t="s">
        <v>31</v>
      </c>
      <c r="D80" t="s">
        <v>94</v>
      </c>
      <c r="E80" t="s">
        <v>214</v>
      </c>
      <c r="F80" t="s">
        <v>17</v>
      </c>
      <c r="G80" t="s">
        <v>34</v>
      </c>
      <c r="H80" s="1">
        <v>45416</v>
      </c>
      <c r="I80" s="1">
        <v>45416</v>
      </c>
      <c r="J80">
        <f>Sheet1[[#This Row],[Close Date]]-Sheet1[[#This Row],[Open Date]]</f>
        <v>0</v>
      </c>
      <c r="K80" t="str">
        <f>IF(Sheet1[[#This Row],[Actual Days]]&gt;=1,"Not Met","Met")</f>
        <v>Met</v>
      </c>
      <c r="L80" t="str">
        <f>TEXT(Sheet1[[#This Row],[Open Date]],"mmm")</f>
        <v>May</v>
      </c>
    </row>
    <row r="81" spans="1:12" x14ac:dyDescent="0.3">
      <c r="A81" t="s">
        <v>215</v>
      </c>
      <c r="B81" t="s">
        <v>42</v>
      </c>
      <c r="C81" t="s">
        <v>104</v>
      </c>
      <c r="D81" t="s">
        <v>94</v>
      </c>
      <c r="E81" t="s">
        <v>216</v>
      </c>
      <c r="F81" t="s">
        <v>40</v>
      </c>
      <c r="G81" t="s">
        <v>49</v>
      </c>
      <c r="H81" s="1">
        <v>45336</v>
      </c>
      <c r="I81" s="1">
        <v>45336</v>
      </c>
      <c r="J81">
        <f>Sheet1[[#This Row],[Close Date]]-Sheet1[[#This Row],[Open Date]]</f>
        <v>0</v>
      </c>
      <c r="K81" t="str">
        <f>IF(Sheet1[[#This Row],[Actual Days]]&gt;=1,"Not Met","Met")</f>
        <v>Met</v>
      </c>
      <c r="L81" t="str">
        <f>TEXT(Sheet1[[#This Row],[Open Date]],"mmm")</f>
        <v>Feb</v>
      </c>
    </row>
    <row r="82" spans="1:12" x14ac:dyDescent="0.3">
      <c r="A82" t="s">
        <v>217</v>
      </c>
      <c r="B82" t="s">
        <v>30</v>
      </c>
      <c r="C82" t="s">
        <v>161</v>
      </c>
      <c r="D82" t="s">
        <v>73</v>
      </c>
      <c r="E82" t="s">
        <v>218</v>
      </c>
      <c r="F82" t="s">
        <v>17</v>
      </c>
      <c r="G82" t="s">
        <v>45</v>
      </c>
      <c r="H82" s="1">
        <v>45356</v>
      </c>
      <c r="I82" s="1">
        <v>45356</v>
      </c>
      <c r="J82">
        <f>Sheet1[[#This Row],[Close Date]]-Sheet1[[#This Row],[Open Date]]</f>
        <v>0</v>
      </c>
      <c r="K82" t="str">
        <f>IF(Sheet1[[#This Row],[Actual Days]]&gt;=1,"Not Met","Met")</f>
        <v>Met</v>
      </c>
      <c r="L82" t="str">
        <f>TEXT(Sheet1[[#This Row],[Open Date]],"mmm")</f>
        <v>Mar</v>
      </c>
    </row>
    <row r="83" spans="1:12" x14ac:dyDescent="0.3">
      <c r="A83" t="s">
        <v>219</v>
      </c>
      <c r="B83" t="s">
        <v>13</v>
      </c>
      <c r="C83" t="s">
        <v>14</v>
      </c>
      <c r="D83" t="s">
        <v>38</v>
      </c>
      <c r="E83" t="s">
        <v>220</v>
      </c>
      <c r="F83" t="s">
        <v>17</v>
      </c>
      <c r="G83" t="s">
        <v>34</v>
      </c>
      <c r="H83" s="1">
        <v>45409</v>
      </c>
      <c r="I83" s="1">
        <v>45409</v>
      </c>
      <c r="J83">
        <f>Sheet1[[#This Row],[Close Date]]-Sheet1[[#This Row],[Open Date]]</f>
        <v>0</v>
      </c>
      <c r="K83" t="str">
        <f>IF(Sheet1[[#This Row],[Actual Days]]&gt;=1,"Not Met","Met")</f>
        <v>Met</v>
      </c>
      <c r="L83" t="str">
        <f>TEXT(Sheet1[[#This Row],[Open Date]],"mmm")</f>
        <v>Apr</v>
      </c>
    </row>
    <row r="84" spans="1:12" x14ac:dyDescent="0.3">
      <c r="A84" t="s">
        <v>221</v>
      </c>
      <c r="B84" t="s">
        <v>36</v>
      </c>
      <c r="C84" t="s">
        <v>37</v>
      </c>
      <c r="D84" t="s">
        <v>156</v>
      </c>
      <c r="E84" t="s">
        <v>222</v>
      </c>
      <c r="F84" t="s">
        <v>40</v>
      </c>
      <c r="G84" t="s">
        <v>18</v>
      </c>
      <c r="H84" s="1">
        <v>45396</v>
      </c>
      <c r="I84" s="1">
        <v>45396</v>
      </c>
      <c r="J84">
        <f>Sheet1[[#This Row],[Close Date]]-Sheet1[[#This Row],[Open Date]]</f>
        <v>0</v>
      </c>
      <c r="K84" t="str">
        <f>IF(Sheet1[[#This Row],[Actual Days]]&gt;=1,"Not Met","Met")</f>
        <v>Met</v>
      </c>
      <c r="L84" t="str">
        <f>TEXT(Sheet1[[#This Row],[Open Date]],"mmm")</f>
        <v>Apr</v>
      </c>
    </row>
    <row r="85" spans="1:12" x14ac:dyDescent="0.3">
      <c r="A85" t="s">
        <v>223</v>
      </c>
      <c r="B85" t="s">
        <v>36</v>
      </c>
      <c r="C85" t="s">
        <v>37</v>
      </c>
      <c r="D85" t="s">
        <v>87</v>
      </c>
      <c r="E85" t="s">
        <v>224</v>
      </c>
      <c r="F85" t="s">
        <v>17</v>
      </c>
      <c r="G85" t="s">
        <v>49</v>
      </c>
      <c r="H85" s="1">
        <v>45339</v>
      </c>
      <c r="I85" s="1">
        <v>45339</v>
      </c>
      <c r="J85">
        <f>Sheet1[[#This Row],[Close Date]]-Sheet1[[#This Row],[Open Date]]</f>
        <v>0</v>
      </c>
      <c r="K85" t="str">
        <f>IF(Sheet1[[#This Row],[Actual Days]]&gt;=1,"Not Met","Met")</f>
        <v>Met</v>
      </c>
      <c r="L85" t="str">
        <f>TEXT(Sheet1[[#This Row],[Open Date]],"mmm")</f>
        <v>Feb</v>
      </c>
    </row>
    <row r="86" spans="1:12" x14ac:dyDescent="0.3">
      <c r="A86" t="s">
        <v>225</v>
      </c>
      <c r="B86" t="s">
        <v>30</v>
      </c>
      <c r="C86" t="s">
        <v>51</v>
      </c>
      <c r="D86" t="s">
        <v>73</v>
      </c>
      <c r="E86" t="s">
        <v>226</v>
      </c>
      <c r="F86" t="s">
        <v>17</v>
      </c>
      <c r="G86" t="s">
        <v>34</v>
      </c>
      <c r="H86" s="1">
        <v>45377</v>
      </c>
      <c r="I86" s="1">
        <v>45377</v>
      </c>
      <c r="J86">
        <f>Sheet1[[#This Row],[Close Date]]-Sheet1[[#This Row],[Open Date]]</f>
        <v>0</v>
      </c>
      <c r="K86" t="str">
        <f>IF(Sheet1[[#This Row],[Actual Days]]&gt;=1,"Not Met","Met")</f>
        <v>Met</v>
      </c>
      <c r="L86" t="str">
        <f>TEXT(Sheet1[[#This Row],[Open Date]],"mmm")</f>
        <v>Mar</v>
      </c>
    </row>
    <row r="87" spans="1:12" x14ac:dyDescent="0.3">
      <c r="A87" t="s">
        <v>227</v>
      </c>
      <c r="B87" t="s">
        <v>13</v>
      </c>
      <c r="C87" t="s">
        <v>68</v>
      </c>
      <c r="D87" t="s">
        <v>38</v>
      </c>
      <c r="E87" t="s">
        <v>228</v>
      </c>
      <c r="F87" t="s">
        <v>26</v>
      </c>
      <c r="G87" t="s">
        <v>18</v>
      </c>
      <c r="H87" s="1">
        <v>45438</v>
      </c>
      <c r="I87" s="1">
        <v>45438</v>
      </c>
      <c r="J87">
        <f>Sheet1[[#This Row],[Close Date]]-Sheet1[[#This Row],[Open Date]]</f>
        <v>0</v>
      </c>
      <c r="K87" t="str">
        <f>IF(Sheet1[[#This Row],[Actual Days]]&gt;=1,"Not Met","Met")</f>
        <v>Met</v>
      </c>
      <c r="L87" t="str">
        <f>TEXT(Sheet1[[#This Row],[Open Date]],"mmm")</f>
        <v>May</v>
      </c>
    </row>
    <row r="88" spans="1:12" x14ac:dyDescent="0.3">
      <c r="A88" t="s">
        <v>229</v>
      </c>
      <c r="B88" t="s">
        <v>30</v>
      </c>
      <c r="C88" t="s">
        <v>161</v>
      </c>
      <c r="D88" t="s">
        <v>38</v>
      </c>
      <c r="E88" t="s">
        <v>230</v>
      </c>
      <c r="F88" t="s">
        <v>26</v>
      </c>
      <c r="G88" t="s">
        <v>27</v>
      </c>
      <c r="H88" s="1">
        <v>45409</v>
      </c>
      <c r="I88" s="1">
        <v>45409</v>
      </c>
      <c r="J88">
        <f>Sheet1[[#This Row],[Close Date]]-Sheet1[[#This Row],[Open Date]]</f>
        <v>0</v>
      </c>
      <c r="K88" t="str">
        <f>IF(Sheet1[[#This Row],[Actual Days]]&gt;=1,"Not Met","Met")</f>
        <v>Met</v>
      </c>
      <c r="L88" t="str">
        <f>TEXT(Sheet1[[#This Row],[Open Date]],"mmm")</f>
        <v>Apr</v>
      </c>
    </row>
    <row r="89" spans="1:12" x14ac:dyDescent="0.3">
      <c r="A89" t="s">
        <v>231</v>
      </c>
      <c r="B89" t="s">
        <v>36</v>
      </c>
      <c r="C89" t="s">
        <v>76</v>
      </c>
      <c r="D89" t="s">
        <v>156</v>
      </c>
      <c r="E89" t="s">
        <v>232</v>
      </c>
      <c r="F89" t="s">
        <v>40</v>
      </c>
      <c r="G89" t="s">
        <v>49</v>
      </c>
      <c r="H89" s="1">
        <v>45421</v>
      </c>
      <c r="I89" s="1">
        <v>45421</v>
      </c>
      <c r="J89">
        <f>Sheet1[[#This Row],[Close Date]]-Sheet1[[#This Row],[Open Date]]</f>
        <v>0</v>
      </c>
      <c r="K89" t="str">
        <f>IF(Sheet1[[#This Row],[Actual Days]]&gt;=1,"Not Met","Met")</f>
        <v>Met</v>
      </c>
      <c r="L89" t="str">
        <f>TEXT(Sheet1[[#This Row],[Open Date]],"mmm")</f>
        <v>May</v>
      </c>
    </row>
    <row r="90" spans="1:12" x14ac:dyDescent="0.3">
      <c r="A90" t="s">
        <v>233</v>
      </c>
      <c r="B90" t="s">
        <v>13</v>
      </c>
      <c r="C90" t="s">
        <v>14</v>
      </c>
      <c r="D90" t="s">
        <v>24</v>
      </c>
      <c r="E90" t="s">
        <v>234</v>
      </c>
      <c r="F90" t="s">
        <v>26</v>
      </c>
      <c r="G90" t="s">
        <v>45</v>
      </c>
      <c r="H90" s="1">
        <v>45358</v>
      </c>
      <c r="I90" s="1">
        <v>45359</v>
      </c>
      <c r="J90">
        <f>Sheet1[[#This Row],[Close Date]]-Sheet1[[#This Row],[Open Date]]</f>
        <v>1</v>
      </c>
      <c r="K90" t="str">
        <f>IF(Sheet1[[#This Row],[Actual Days]]&gt;=1,"Not Met","Met")</f>
        <v>Not Met</v>
      </c>
      <c r="L90" t="str">
        <f>TEXT(Sheet1[[#This Row],[Open Date]],"mmm")</f>
        <v>Mar</v>
      </c>
    </row>
    <row r="91" spans="1:12" x14ac:dyDescent="0.3">
      <c r="A91" t="s">
        <v>235</v>
      </c>
      <c r="B91" t="s">
        <v>13</v>
      </c>
      <c r="C91" t="s">
        <v>68</v>
      </c>
      <c r="D91" t="s">
        <v>94</v>
      </c>
      <c r="E91" t="s">
        <v>236</v>
      </c>
      <c r="F91" t="s">
        <v>17</v>
      </c>
      <c r="G91" t="s">
        <v>45</v>
      </c>
      <c r="H91" s="1">
        <v>45401</v>
      </c>
      <c r="I91" s="1">
        <v>45401</v>
      </c>
      <c r="J91">
        <f>Sheet1[[#This Row],[Close Date]]-Sheet1[[#This Row],[Open Date]]</f>
        <v>0</v>
      </c>
      <c r="K91" t="str">
        <f>IF(Sheet1[[#This Row],[Actual Days]]&gt;=1,"Not Met","Met")</f>
        <v>Met</v>
      </c>
      <c r="L91" t="str">
        <f>TEXT(Sheet1[[#This Row],[Open Date]],"mmm")</f>
        <v>Apr</v>
      </c>
    </row>
    <row r="92" spans="1:12" x14ac:dyDescent="0.3">
      <c r="A92" t="s">
        <v>237</v>
      </c>
      <c r="B92" t="s">
        <v>42</v>
      </c>
      <c r="C92" t="s">
        <v>43</v>
      </c>
      <c r="D92" t="s">
        <v>156</v>
      </c>
      <c r="E92" t="s">
        <v>238</v>
      </c>
      <c r="F92" t="s">
        <v>26</v>
      </c>
      <c r="G92" t="s">
        <v>59</v>
      </c>
      <c r="H92" s="1">
        <v>45320</v>
      </c>
      <c r="I92" s="1">
        <v>45320</v>
      </c>
      <c r="J92">
        <f>Sheet1[[#This Row],[Close Date]]-Sheet1[[#This Row],[Open Date]]</f>
        <v>0</v>
      </c>
      <c r="K92" t="str">
        <f>IF(Sheet1[[#This Row],[Actual Days]]&gt;=1,"Not Met","Met")</f>
        <v>Met</v>
      </c>
      <c r="L92" t="str">
        <f>TEXT(Sheet1[[#This Row],[Open Date]],"mmm")</f>
        <v>Jan</v>
      </c>
    </row>
    <row r="93" spans="1:12" x14ac:dyDescent="0.3">
      <c r="A93" t="s">
        <v>239</v>
      </c>
      <c r="B93" t="s">
        <v>13</v>
      </c>
      <c r="C93" t="s">
        <v>14</v>
      </c>
      <c r="D93" t="s">
        <v>73</v>
      </c>
      <c r="E93" t="s">
        <v>240</v>
      </c>
      <c r="F93" t="s">
        <v>26</v>
      </c>
      <c r="G93" t="s">
        <v>49</v>
      </c>
      <c r="H93" s="1">
        <v>45366</v>
      </c>
      <c r="I93" s="1">
        <v>45366</v>
      </c>
      <c r="J93">
        <f>Sheet1[[#This Row],[Close Date]]-Sheet1[[#This Row],[Open Date]]</f>
        <v>0</v>
      </c>
      <c r="K93" t="str">
        <f>IF(Sheet1[[#This Row],[Actual Days]]&gt;=1,"Not Met","Met")</f>
        <v>Met</v>
      </c>
      <c r="L93" t="str">
        <f>TEXT(Sheet1[[#This Row],[Open Date]],"mmm")</f>
        <v>Mar</v>
      </c>
    </row>
    <row r="94" spans="1:12" x14ac:dyDescent="0.3">
      <c r="A94" t="s">
        <v>241</v>
      </c>
      <c r="B94" t="s">
        <v>30</v>
      </c>
      <c r="C94" t="s">
        <v>161</v>
      </c>
      <c r="D94" t="s">
        <v>38</v>
      </c>
      <c r="E94" t="s">
        <v>242</v>
      </c>
      <c r="F94" t="s">
        <v>40</v>
      </c>
      <c r="G94" t="s">
        <v>59</v>
      </c>
      <c r="H94" s="1">
        <v>45372</v>
      </c>
      <c r="I94" s="1">
        <v>45372</v>
      </c>
      <c r="J94">
        <f>Sheet1[[#This Row],[Close Date]]-Sheet1[[#This Row],[Open Date]]</f>
        <v>0</v>
      </c>
      <c r="K94" t="str">
        <f>IF(Sheet1[[#This Row],[Actual Days]]&gt;=1,"Not Met","Met")</f>
        <v>Met</v>
      </c>
      <c r="L94" t="str">
        <f>TEXT(Sheet1[[#This Row],[Open Date]],"mmm")</f>
        <v>Mar</v>
      </c>
    </row>
    <row r="95" spans="1:12" x14ac:dyDescent="0.3">
      <c r="A95" t="s">
        <v>243</v>
      </c>
      <c r="B95" t="s">
        <v>22</v>
      </c>
      <c r="C95" t="s">
        <v>23</v>
      </c>
      <c r="D95" t="s">
        <v>94</v>
      </c>
      <c r="E95" t="s">
        <v>244</v>
      </c>
      <c r="F95" t="s">
        <v>40</v>
      </c>
      <c r="G95" t="s">
        <v>27</v>
      </c>
      <c r="H95" s="1">
        <v>45414</v>
      </c>
      <c r="I95" s="1">
        <v>45414</v>
      </c>
      <c r="J95">
        <f>Sheet1[[#This Row],[Close Date]]-Sheet1[[#This Row],[Open Date]]</f>
        <v>0</v>
      </c>
      <c r="K95" t="str">
        <f>IF(Sheet1[[#This Row],[Actual Days]]&gt;=1,"Not Met","Met")</f>
        <v>Met</v>
      </c>
      <c r="L95" t="str">
        <f>TEXT(Sheet1[[#This Row],[Open Date]],"mmm")</f>
        <v>May</v>
      </c>
    </row>
    <row r="96" spans="1:12" x14ac:dyDescent="0.3">
      <c r="A96" t="s">
        <v>245</v>
      </c>
      <c r="B96" t="s">
        <v>36</v>
      </c>
      <c r="C96" t="s">
        <v>62</v>
      </c>
      <c r="D96" t="s">
        <v>87</v>
      </c>
      <c r="E96" t="s">
        <v>246</v>
      </c>
      <c r="F96" t="s">
        <v>26</v>
      </c>
      <c r="G96" t="s">
        <v>34</v>
      </c>
      <c r="H96" s="1">
        <v>45301</v>
      </c>
      <c r="I96" s="1">
        <v>45301</v>
      </c>
      <c r="J96">
        <f>Sheet1[[#This Row],[Close Date]]-Sheet1[[#This Row],[Open Date]]</f>
        <v>0</v>
      </c>
      <c r="K96" t="str">
        <f>IF(Sheet1[[#This Row],[Actual Days]]&gt;=1,"Not Met","Met")</f>
        <v>Met</v>
      </c>
      <c r="L96" t="str">
        <f>TEXT(Sheet1[[#This Row],[Open Date]],"mmm")</f>
        <v>Jan</v>
      </c>
    </row>
    <row r="97" spans="1:12" x14ac:dyDescent="0.3">
      <c r="A97" t="s">
        <v>247</v>
      </c>
      <c r="B97" t="s">
        <v>13</v>
      </c>
      <c r="C97" t="s">
        <v>14</v>
      </c>
      <c r="D97" t="s">
        <v>24</v>
      </c>
      <c r="E97" t="s">
        <v>248</v>
      </c>
      <c r="F97" t="s">
        <v>17</v>
      </c>
      <c r="G97" t="s">
        <v>18</v>
      </c>
      <c r="H97" s="1">
        <v>45399</v>
      </c>
      <c r="I97" s="1">
        <v>45399</v>
      </c>
      <c r="J97">
        <f>Sheet1[[#This Row],[Close Date]]-Sheet1[[#This Row],[Open Date]]</f>
        <v>0</v>
      </c>
      <c r="K97" t="str">
        <f>IF(Sheet1[[#This Row],[Actual Days]]&gt;=1,"Not Met","Met")</f>
        <v>Met</v>
      </c>
      <c r="L97" t="str">
        <f>TEXT(Sheet1[[#This Row],[Open Date]],"mmm")</f>
        <v>Apr</v>
      </c>
    </row>
    <row r="98" spans="1:12" x14ac:dyDescent="0.3">
      <c r="A98" t="s">
        <v>249</v>
      </c>
      <c r="B98" t="s">
        <v>22</v>
      </c>
      <c r="C98" t="s">
        <v>23</v>
      </c>
      <c r="D98" t="s">
        <v>73</v>
      </c>
      <c r="E98" t="s">
        <v>250</v>
      </c>
      <c r="F98" t="s">
        <v>26</v>
      </c>
      <c r="G98" t="s">
        <v>49</v>
      </c>
      <c r="H98" s="1">
        <v>45373</v>
      </c>
      <c r="I98" s="1">
        <v>45373</v>
      </c>
      <c r="J98">
        <f>Sheet1[[#This Row],[Close Date]]-Sheet1[[#This Row],[Open Date]]</f>
        <v>0</v>
      </c>
      <c r="K98" t="str">
        <f>IF(Sheet1[[#This Row],[Actual Days]]&gt;=1,"Not Met","Met")</f>
        <v>Met</v>
      </c>
      <c r="L98" t="str">
        <f>TEXT(Sheet1[[#This Row],[Open Date]],"mmm")</f>
        <v>Mar</v>
      </c>
    </row>
    <row r="99" spans="1:12" x14ac:dyDescent="0.3">
      <c r="A99" t="s">
        <v>251</v>
      </c>
      <c r="B99" t="s">
        <v>30</v>
      </c>
      <c r="C99" t="s">
        <v>31</v>
      </c>
      <c r="D99" t="s">
        <v>94</v>
      </c>
      <c r="E99" t="s">
        <v>252</v>
      </c>
      <c r="F99" t="s">
        <v>40</v>
      </c>
      <c r="G99" t="s">
        <v>18</v>
      </c>
      <c r="H99" s="1">
        <v>45356</v>
      </c>
      <c r="I99" s="1">
        <v>45356</v>
      </c>
      <c r="J99">
        <f>Sheet1[[#This Row],[Close Date]]-Sheet1[[#This Row],[Open Date]]</f>
        <v>0</v>
      </c>
      <c r="K99" t="str">
        <f>IF(Sheet1[[#This Row],[Actual Days]]&gt;=1,"Not Met","Met")</f>
        <v>Met</v>
      </c>
      <c r="L99" t="str">
        <f>TEXT(Sheet1[[#This Row],[Open Date]],"mmm")</f>
        <v>Mar</v>
      </c>
    </row>
    <row r="100" spans="1:12" x14ac:dyDescent="0.3">
      <c r="A100" t="s">
        <v>253</v>
      </c>
      <c r="B100" t="s">
        <v>22</v>
      </c>
      <c r="C100" t="s">
        <v>101</v>
      </c>
      <c r="D100" t="s">
        <v>73</v>
      </c>
      <c r="E100" t="s">
        <v>254</v>
      </c>
      <c r="F100" t="s">
        <v>26</v>
      </c>
      <c r="G100" t="s">
        <v>34</v>
      </c>
      <c r="H100" s="1">
        <v>45321</v>
      </c>
      <c r="I100" s="1">
        <v>45321</v>
      </c>
      <c r="J100">
        <f>Sheet1[[#This Row],[Close Date]]-Sheet1[[#This Row],[Open Date]]</f>
        <v>0</v>
      </c>
      <c r="K100" t="str">
        <f>IF(Sheet1[[#This Row],[Actual Days]]&gt;=1,"Not Met","Met")</f>
        <v>Met</v>
      </c>
      <c r="L100" t="str">
        <f>TEXT(Sheet1[[#This Row],[Open Date]],"mmm")</f>
        <v>Jan</v>
      </c>
    </row>
    <row r="101" spans="1:12" x14ac:dyDescent="0.3">
      <c r="A101" t="s">
        <v>255</v>
      </c>
      <c r="B101" t="s">
        <v>42</v>
      </c>
      <c r="C101" t="s">
        <v>104</v>
      </c>
      <c r="D101" t="s">
        <v>38</v>
      </c>
      <c r="E101" t="s">
        <v>256</v>
      </c>
      <c r="F101" t="s">
        <v>40</v>
      </c>
      <c r="G101" t="s">
        <v>59</v>
      </c>
      <c r="H101" s="1">
        <v>45303</v>
      </c>
      <c r="I101" s="1">
        <v>45303</v>
      </c>
      <c r="J101">
        <f>Sheet1[[#This Row],[Close Date]]-Sheet1[[#This Row],[Open Date]]</f>
        <v>0</v>
      </c>
      <c r="K101" t="str">
        <f>IF(Sheet1[[#This Row],[Actual Days]]&gt;=1,"Not Met","Met")</f>
        <v>Met</v>
      </c>
      <c r="L101" t="str">
        <f>TEXT(Sheet1[[#This Row],[Open Date]],"mmm")</f>
        <v>Jan</v>
      </c>
    </row>
    <row r="102" spans="1:12" x14ac:dyDescent="0.3">
      <c r="A102" t="s">
        <v>257</v>
      </c>
      <c r="B102" t="s">
        <v>42</v>
      </c>
      <c r="C102" t="s">
        <v>107</v>
      </c>
      <c r="D102" t="s">
        <v>94</v>
      </c>
      <c r="E102" t="s">
        <v>258</v>
      </c>
      <c r="F102" t="s">
        <v>26</v>
      </c>
      <c r="G102" t="s">
        <v>49</v>
      </c>
      <c r="H102" s="1">
        <v>45433</v>
      </c>
      <c r="I102" s="1">
        <v>45433</v>
      </c>
      <c r="J102">
        <f>Sheet1[[#This Row],[Close Date]]-Sheet1[[#This Row],[Open Date]]</f>
        <v>0</v>
      </c>
      <c r="K102" t="str">
        <f>IF(Sheet1[[#This Row],[Actual Days]]&gt;=1,"Not Met","Met")</f>
        <v>Met</v>
      </c>
      <c r="L102" t="str">
        <f>TEXT(Sheet1[[#This Row],[Open Date]],"mmm")</f>
        <v>May</v>
      </c>
    </row>
    <row r="103" spans="1:12" x14ac:dyDescent="0.3">
      <c r="A103" t="s">
        <v>259</v>
      </c>
      <c r="B103" t="s">
        <v>30</v>
      </c>
      <c r="C103" t="s">
        <v>51</v>
      </c>
      <c r="D103" t="s">
        <v>94</v>
      </c>
      <c r="E103" t="s">
        <v>260</v>
      </c>
      <c r="F103" t="s">
        <v>40</v>
      </c>
      <c r="G103" t="s">
        <v>27</v>
      </c>
      <c r="H103" s="1">
        <v>45415</v>
      </c>
      <c r="I103" s="1">
        <v>45415</v>
      </c>
      <c r="J103">
        <f>Sheet1[[#This Row],[Close Date]]-Sheet1[[#This Row],[Open Date]]</f>
        <v>0</v>
      </c>
      <c r="K103" t="str">
        <f>IF(Sheet1[[#This Row],[Actual Days]]&gt;=1,"Not Met","Met")</f>
        <v>Met</v>
      </c>
      <c r="L103" t="str">
        <f>TEXT(Sheet1[[#This Row],[Open Date]],"mmm")</f>
        <v>May</v>
      </c>
    </row>
    <row r="104" spans="1:12" x14ac:dyDescent="0.3">
      <c r="A104" t="s">
        <v>261</v>
      </c>
      <c r="B104" t="s">
        <v>42</v>
      </c>
      <c r="C104" t="s">
        <v>107</v>
      </c>
      <c r="D104" t="s">
        <v>32</v>
      </c>
      <c r="E104" t="s">
        <v>262</v>
      </c>
      <c r="F104" t="s">
        <v>40</v>
      </c>
      <c r="G104" t="s">
        <v>59</v>
      </c>
      <c r="H104" s="1">
        <v>45421</v>
      </c>
      <c r="I104" s="1">
        <v>45421</v>
      </c>
      <c r="J104">
        <f>Sheet1[[#This Row],[Close Date]]-Sheet1[[#This Row],[Open Date]]</f>
        <v>0</v>
      </c>
      <c r="K104" t="str">
        <f>IF(Sheet1[[#This Row],[Actual Days]]&gt;=1,"Not Met","Met")</f>
        <v>Met</v>
      </c>
      <c r="L104" t="str">
        <f>TEXT(Sheet1[[#This Row],[Open Date]],"mmm")</f>
        <v>May</v>
      </c>
    </row>
    <row r="105" spans="1:12" x14ac:dyDescent="0.3">
      <c r="A105" t="s">
        <v>263</v>
      </c>
      <c r="B105" t="s">
        <v>42</v>
      </c>
      <c r="C105" t="s">
        <v>43</v>
      </c>
      <c r="D105" t="s">
        <v>156</v>
      </c>
      <c r="E105" t="s">
        <v>264</v>
      </c>
      <c r="F105" t="s">
        <v>26</v>
      </c>
      <c r="G105" t="s">
        <v>59</v>
      </c>
      <c r="H105" s="1">
        <v>45430</v>
      </c>
      <c r="I105" s="1">
        <v>45430</v>
      </c>
      <c r="J105">
        <f>Sheet1[[#This Row],[Close Date]]-Sheet1[[#This Row],[Open Date]]</f>
        <v>0</v>
      </c>
      <c r="K105" t="str">
        <f>IF(Sheet1[[#This Row],[Actual Days]]&gt;=1,"Not Met","Met")</f>
        <v>Met</v>
      </c>
      <c r="L105" t="str">
        <f>TEXT(Sheet1[[#This Row],[Open Date]],"mmm")</f>
        <v>May</v>
      </c>
    </row>
    <row r="106" spans="1:12" x14ac:dyDescent="0.3">
      <c r="A106" t="s">
        <v>265</v>
      </c>
      <c r="B106" t="s">
        <v>30</v>
      </c>
      <c r="C106" t="s">
        <v>51</v>
      </c>
      <c r="D106" t="s">
        <v>156</v>
      </c>
      <c r="E106" t="s">
        <v>266</v>
      </c>
      <c r="F106" t="s">
        <v>17</v>
      </c>
      <c r="G106" t="s">
        <v>45</v>
      </c>
      <c r="H106" s="1">
        <v>45412</v>
      </c>
      <c r="I106" s="1">
        <v>45412</v>
      </c>
      <c r="J106">
        <f>Sheet1[[#This Row],[Close Date]]-Sheet1[[#This Row],[Open Date]]</f>
        <v>0</v>
      </c>
      <c r="K106" t="str">
        <f>IF(Sheet1[[#This Row],[Actual Days]]&gt;=1,"Not Met","Met")</f>
        <v>Met</v>
      </c>
      <c r="L106" t="str">
        <f>TEXT(Sheet1[[#This Row],[Open Date]],"mmm")</f>
        <v>Apr</v>
      </c>
    </row>
    <row r="107" spans="1:12" x14ac:dyDescent="0.3">
      <c r="A107" t="s">
        <v>267</v>
      </c>
      <c r="B107" t="s">
        <v>42</v>
      </c>
      <c r="C107" t="s">
        <v>107</v>
      </c>
      <c r="D107" t="s">
        <v>38</v>
      </c>
      <c r="E107" t="s">
        <v>268</v>
      </c>
      <c r="F107" t="s">
        <v>26</v>
      </c>
      <c r="G107" t="s">
        <v>34</v>
      </c>
      <c r="H107" s="1">
        <v>45391</v>
      </c>
      <c r="I107" s="1">
        <v>45391</v>
      </c>
      <c r="J107">
        <f>Sheet1[[#This Row],[Close Date]]-Sheet1[[#This Row],[Open Date]]</f>
        <v>0</v>
      </c>
      <c r="K107" t="str">
        <f>IF(Sheet1[[#This Row],[Actual Days]]&gt;=1,"Not Met","Met")</f>
        <v>Met</v>
      </c>
      <c r="L107" t="str">
        <f>TEXT(Sheet1[[#This Row],[Open Date]],"mmm")</f>
        <v>Apr</v>
      </c>
    </row>
    <row r="108" spans="1:12" x14ac:dyDescent="0.3">
      <c r="A108" t="s">
        <v>269</v>
      </c>
      <c r="B108" t="s">
        <v>36</v>
      </c>
      <c r="C108" t="s">
        <v>76</v>
      </c>
      <c r="D108" t="s">
        <v>24</v>
      </c>
      <c r="E108" t="s">
        <v>270</v>
      </c>
      <c r="F108" t="s">
        <v>40</v>
      </c>
      <c r="G108" t="s">
        <v>45</v>
      </c>
      <c r="H108" s="1">
        <v>45408</v>
      </c>
      <c r="I108" s="1">
        <v>45408</v>
      </c>
      <c r="J108">
        <f>Sheet1[[#This Row],[Close Date]]-Sheet1[[#This Row],[Open Date]]</f>
        <v>0</v>
      </c>
      <c r="K108" t="str">
        <f>IF(Sheet1[[#This Row],[Actual Days]]&gt;=1,"Not Met","Met")</f>
        <v>Met</v>
      </c>
      <c r="L108" t="str">
        <f>TEXT(Sheet1[[#This Row],[Open Date]],"mmm")</f>
        <v>Apr</v>
      </c>
    </row>
    <row r="109" spans="1:12" x14ac:dyDescent="0.3">
      <c r="A109" t="s">
        <v>271</v>
      </c>
      <c r="B109" t="s">
        <v>30</v>
      </c>
      <c r="C109" t="s">
        <v>51</v>
      </c>
      <c r="D109" t="s">
        <v>32</v>
      </c>
      <c r="E109" t="s">
        <v>272</v>
      </c>
      <c r="F109" t="s">
        <v>40</v>
      </c>
      <c r="G109" t="s">
        <v>27</v>
      </c>
      <c r="H109" s="1">
        <v>45356</v>
      </c>
      <c r="I109" s="1">
        <v>45357</v>
      </c>
      <c r="J109">
        <f>Sheet1[[#This Row],[Close Date]]-Sheet1[[#This Row],[Open Date]]</f>
        <v>1</v>
      </c>
      <c r="K109" t="str">
        <f>IF(Sheet1[[#This Row],[Actual Days]]&gt;=1,"Not Met","Met")</f>
        <v>Not Met</v>
      </c>
      <c r="L109" t="str">
        <f>TEXT(Sheet1[[#This Row],[Open Date]],"mmm")</f>
        <v>Mar</v>
      </c>
    </row>
    <row r="110" spans="1:12" x14ac:dyDescent="0.3">
      <c r="A110" t="s">
        <v>273</v>
      </c>
      <c r="B110" t="s">
        <v>30</v>
      </c>
      <c r="C110" t="s">
        <v>31</v>
      </c>
      <c r="D110" t="s">
        <v>38</v>
      </c>
      <c r="E110" t="s">
        <v>274</v>
      </c>
      <c r="F110" t="s">
        <v>40</v>
      </c>
      <c r="G110" t="s">
        <v>34</v>
      </c>
      <c r="H110" s="1">
        <v>45430</v>
      </c>
      <c r="I110" s="1">
        <v>45430</v>
      </c>
      <c r="J110">
        <f>Sheet1[[#This Row],[Close Date]]-Sheet1[[#This Row],[Open Date]]</f>
        <v>0</v>
      </c>
      <c r="K110" t="str">
        <f>IF(Sheet1[[#This Row],[Actual Days]]&gt;=1,"Not Met","Met")</f>
        <v>Met</v>
      </c>
      <c r="L110" t="str">
        <f>TEXT(Sheet1[[#This Row],[Open Date]],"mmm")</f>
        <v>May</v>
      </c>
    </row>
    <row r="111" spans="1:12" x14ac:dyDescent="0.3">
      <c r="A111" t="s">
        <v>275</v>
      </c>
      <c r="B111" t="s">
        <v>13</v>
      </c>
      <c r="C111" t="s">
        <v>14</v>
      </c>
      <c r="D111" t="s">
        <v>87</v>
      </c>
      <c r="E111" t="s">
        <v>276</v>
      </c>
      <c r="F111" t="s">
        <v>17</v>
      </c>
      <c r="G111" t="s">
        <v>59</v>
      </c>
      <c r="H111" s="1">
        <v>45360</v>
      </c>
      <c r="I111" s="1">
        <v>45360</v>
      </c>
      <c r="J111">
        <f>Sheet1[[#This Row],[Close Date]]-Sheet1[[#This Row],[Open Date]]</f>
        <v>0</v>
      </c>
      <c r="K111" t="str">
        <f>IF(Sheet1[[#This Row],[Actual Days]]&gt;=1,"Not Met","Met")</f>
        <v>Met</v>
      </c>
      <c r="L111" t="str">
        <f>TEXT(Sheet1[[#This Row],[Open Date]],"mmm")</f>
        <v>Mar</v>
      </c>
    </row>
    <row r="112" spans="1:12" x14ac:dyDescent="0.3">
      <c r="A112" t="s">
        <v>277</v>
      </c>
      <c r="B112" t="s">
        <v>42</v>
      </c>
      <c r="C112" t="s">
        <v>104</v>
      </c>
      <c r="D112" t="s">
        <v>15</v>
      </c>
      <c r="E112" t="s">
        <v>278</v>
      </c>
      <c r="F112" t="s">
        <v>40</v>
      </c>
      <c r="G112" t="s">
        <v>45</v>
      </c>
      <c r="H112" s="1">
        <v>45318</v>
      </c>
      <c r="I112" s="1">
        <v>45318</v>
      </c>
      <c r="J112">
        <f>Sheet1[[#This Row],[Close Date]]-Sheet1[[#This Row],[Open Date]]</f>
        <v>0</v>
      </c>
      <c r="K112" t="str">
        <f>IF(Sheet1[[#This Row],[Actual Days]]&gt;=1,"Not Met","Met")</f>
        <v>Met</v>
      </c>
      <c r="L112" t="str">
        <f>TEXT(Sheet1[[#This Row],[Open Date]],"mmm")</f>
        <v>Jan</v>
      </c>
    </row>
    <row r="113" spans="1:12" x14ac:dyDescent="0.3">
      <c r="A113" t="s">
        <v>279</v>
      </c>
      <c r="B113" t="s">
        <v>30</v>
      </c>
      <c r="C113" t="s">
        <v>161</v>
      </c>
      <c r="D113" t="s">
        <v>38</v>
      </c>
      <c r="E113" t="s">
        <v>280</v>
      </c>
      <c r="F113" t="s">
        <v>26</v>
      </c>
      <c r="G113" t="s">
        <v>49</v>
      </c>
      <c r="H113" s="1">
        <v>45313</v>
      </c>
      <c r="I113" s="1">
        <v>45313</v>
      </c>
      <c r="J113">
        <f>Sheet1[[#This Row],[Close Date]]-Sheet1[[#This Row],[Open Date]]</f>
        <v>0</v>
      </c>
      <c r="K113" t="str">
        <f>IF(Sheet1[[#This Row],[Actual Days]]&gt;=1,"Not Met","Met")</f>
        <v>Met</v>
      </c>
      <c r="L113" t="str">
        <f>TEXT(Sheet1[[#This Row],[Open Date]],"mmm")</f>
        <v>Jan</v>
      </c>
    </row>
    <row r="114" spans="1:12" x14ac:dyDescent="0.3">
      <c r="A114" t="s">
        <v>281</v>
      </c>
      <c r="B114" t="s">
        <v>22</v>
      </c>
      <c r="C114" t="s">
        <v>101</v>
      </c>
      <c r="D114" t="s">
        <v>32</v>
      </c>
      <c r="E114" t="s">
        <v>282</v>
      </c>
      <c r="F114" t="s">
        <v>26</v>
      </c>
      <c r="G114" t="s">
        <v>49</v>
      </c>
      <c r="H114" s="1">
        <v>45378</v>
      </c>
      <c r="I114" s="1">
        <v>45378</v>
      </c>
      <c r="J114">
        <f>Sheet1[[#This Row],[Close Date]]-Sheet1[[#This Row],[Open Date]]</f>
        <v>0</v>
      </c>
      <c r="K114" t="str">
        <f>IF(Sheet1[[#This Row],[Actual Days]]&gt;=1,"Not Met","Met")</f>
        <v>Met</v>
      </c>
      <c r="L114" t="str">
        <f>TEXT(Sheet1[[#This Row],[Open Date]],"mmm")</f>
        <v>Mar</v>
      </c>
    </row>
    <row r="115" spans="1:12" x14ac:dyDescent="0.3">
      <c r="A115" t="s">
        <v>283</v>
      </c>
      <c r="B115" t="s">
        <v>36</v>
      </c>
      <c r="C115" t="s">
        <v>37</v>
      </c>
      <c r="D115" t="s">
        <v>38</v>
      </c>
      <c r="E115" t="s">
        <v>284</v>
      </c>
      <c r="F115" t="s">
        <v>17</v>
      </c>
      <c r="G115" t="s">
        <v>27</v>
      </c>
      <c r="H115" s="1">
        <v>45365</v>
      </c>
      <c r="I115" s="1">
        <v>45365</v>
      </c>
      <c r="J115">
        <f>Sheet1[[#This Row],[Close Date]]-Sheet1[[#This Row],[Open Date]]</f>
        <v>0</v>
      </c>
      <c r="K115" t="str">
        <f>IF(Sheet1[[#This Row],[Actual Days]]&gt;=1,"Not Met","Met")</f>
        <v>Met</v>
      </c>
      <c r="L115" t="str">
        <f>TEXT(Sheet1[[#This Row],[Open Date]],"mmm")</f>
        <v>Mar</v>
      </c>
    </row>
    <row r="116" spans="1:12" x14ac:dyDescent="0.3">
      <c r="A116" t="s">
        <v>285</v>
      </c>
      <c r="B116" t="s">
        <v>13</v>
      </c>
      <c r="C116" t="s">
        <v>65</v>
      </c>
      <c r="D116" t="s">
        <v>73</v>
      </c>
      <c r="E116" t="s">
        <v>286</v>
      </c>
      <c r="F116" t="s">
        <v>17</v>
      </c>
      <c r="G116" t="s">
        <v>49</v>
      </c>
      <c r="H116" s="1">
        <v>45393</v>
      </c>
      <c r="I116" s="1">
        <v>45393</v>
      </c>
      <c r="J116">
        <f>Sheet1[[#This Row],[Close Date]]-Sheet1[[#This Row],[Open Date]]</f>
        <v>0</v>
      </c>
      <c r="K116" t="str">
        <f>IF(Sheet1[[#This Row],[Actual Days]]&gt;=1,"Not Met","Met")</f>
        <v>Met</v>
      </c>
      <c r="L116" t="str">
        <f>TEXT(Sheet1[[#This Row],[Open Date]],"mmm")</f>
        <v>Apr</v>
      </c>
    </row>
    <row r="117" spans="1:12" x14ac:dyDescent="0.3">
      <c r="A117" t="s">
        <v>287</v>
      </c>
      <c r="B117" t="s">
        <v>30</v>
      </c>
      <c r="C117" t="s">
        <v>31</v>
      </c>
      <c r="D117" t="s">
        <v>73</v>
      </c>
      <c r="E117" t="s">
        <v>288</v>
      </c>
      <c r="F117" t="s">
        <v>26</v>
      </c>
      <c r="G117" t="s">
        <v>27</v>
      </c>
      <c r="H117" s="1">
        <v>45432</v>
      </c>
      <c r="I117" s="1">
        <v>45432</v>
      </c>
      <c r="J117">
        <f>Sheet1[[#This Row],[Close Date]]-Sheet1[[#This Row],[Open Date]]</f>
        <v>0</v>
      </c>
      <c r="K117" t="str">
        <f>IF(Sheet1[[#This Row],[Actual Days]]&gt;=1,"Not Met","Met")</f>
        <v>Met</v>
      </c>
      <c r="L117" t="str">
        <f>TEXT(Sheet1[[#This Row],[Open Date]],"mmm")</f>
        <v>May</v>
      </c>
    </row>
    <row r="118" spans="1:12" x14ac:dyDescent="0.3">
      <c r="A118" t="s">
        <v>289</v>
      </c>
      <c r="B118" t="s">
        <v>30</v>
      </c>
      <c r="C118" t="s">
        <v>161</v>
      </c>
      <c r="D118" t="s">
        <v>87</v>
      </c>
      <c r="E118" t="s">
        <v>290</v>
      </c>
      <c r="F118" t="s">
        <v>40</v>
      </c>
      <c r="G118" t="s">
        <v>59</v>
      </c>
      <c r="H118" s="1">
        <v>45296</v>
      </c>
      <c r="I118" s="1">
        <v>45296</v>
      </c>
      <c r="J118">
        <f>Sheet1[[#This Row],[Close Date]]-Sheet1[[#This Row],[Open Date]]</f>
        <v>0</v>
      </c>
      <c r="K118" t="str">
        <f>IF(Sheet1[[#This Row],[Actual Days]]&gt;=1,"Not Met","Met")</f>
        <v>Met</v>
      </c>
      <c r="L118" t="str">
        <f>TEXT(Sheet1[[#This Row],[Open Date]],"mmm")</f>
        <v>Jan</v>
      </c>
    </row>
    <row r="119" spans="1:12" x14ac:dyDescent="0.3">
      <c r="A119" t="s">
        <v>291</v>
      </c>
      <c r="B119" t="s">
        <v>22</v>
      </c>
      <c r="C119" t="s">
        <v>84</v>
      </c>
      <c r="D119" t="s">
        <v>156</v>
      </c>
      <c r="E119" t="s">
        <v>292</v>
      </c>
      <c r="F119" t="s">
        <v>40</v>
      </c>
      <c r="G119" t="s">
        <v>59</v>
      </c>
      <c r="H119" s="1">
        <v>45386</v>
      </c>
      <c r="I119" s="1">
        <v>45386</v>
      </c>
      <c r="J119">
        <f>Sheet1[[#This Row],[Close Date]]-Sheet1[[#This Row],[Open Date]]</f>
        <v>0</v>
      </c>
      <c r="K119" t="str">
        <f>IF(Sheet1[[#This Row],[Actual Days]]&gt;=1,"Not Met","Met")</f>
        <v>Met</v>
      </c>
      <c r="L119" t="str">
        <f>TEXT(Sheet1[[#This Row],[Open Date]],"mmm")</f>
        <v>Apr</v>
      </c>
    </row>
    <row r="120" spans="1:12" x14ac:dyDescent="0.3">
      <c r="A120" t="s">
        <v>293</v>
      </c>
      <c r="B120" t="s">
        <v>42</v>
      </c>
      <c r="C120" t="s">
        <v>107</v>
      </c>
      <c r="D120" t="s">
        <v>87</v>
      </c>
      <c r="E120" t="s">
        <v>294</v>
      </c>
      <c r="F120" t="s">
        <v>26</v>
      </c>
      <c r="G120" t="s">
        <v>18</v>
      </c>
      <c r="H120" s="1">
        <v>45406</v>
      </c>
      <c r="I120" s="1">
        <v>45406</v>
      </c>
      <c r="J120">
        <f>Sheet1[[#This Row],[Close Date]]-Sheet1[[#This Row],[Open Date]]</f>
        <v>0</v>
      </c>
      <c r="K120" t="str">
        <f>IF(Sheet1[[#This Row],[Actual Days]]&gt;=1,"Not Met","Met")</f>
        <v>Met</v>
      </c>
      <c r="L120" t="str">
        <f>TEXT(Sheet1[[#This Row],[Open Date]],"mmm")</f>
        <v>Apr</v>
      </c>
    </row>
    <row r="121" spans="1:12" x14ac:dyDescent="0.3">
      <c r="A121" t="s">
        <v>295</v>
      </c>
      <c r="B121" t="s">
        <v>22</v>
      </c>
      <c r="C121" t="s">
        <v>23</v>
      </c>
      <c r="D121" t="s">
        <v>73</v>
      </c>
      <c r="E121" t="s">
        <v>296</v>
      </c>
      <c r="F121" t="s">
        <v>17</v>
      </c>
      <c r="G121" t="s">
        <v>59</v>
      </c>
      <c r="H121" s="1">
        <v>45338</v>
      </c>
      <c r="I121" s="1">
        <v>45338</v>
      </c>
      <c r="J121">
        <f>Sheet1[[#This Row],[Close Date]]-Sheet1[[#This Row],[Open Date]]</f>
        <v>0</v>
      </c>
      <c r="K121" t="str">
        <f>IF(Sheet1[[#This Row],[Actual Days]]&gt;=1,"Not Met","Met")</f>
        <v>Met</v>
      </c>
      <c r="L121" t="str">
        <f>TEXT(Sheet1[[#This Row],[Open Date]],"mmm")</f>
        <v>Feb</v>
      </c>
    </row>
    <row r="122" spans="1:12" x14ac:dyDescent="0.3">
      <c r="A122" t="s">
        <v>297</v>
      </c>
      <c r="B122" t="s">
        <v>13</v>
      </c>
      <c r="C122" t="s">
        <v>14</v>
      </c>
      <c r="D122" t="s">
        <v>24</v>
      </c>
      <c r="E122" t="s">
        <v>298</v>
      </c>
      <c r="F122" t="s">
        <v>26</v>
      </c>
      <c r="G122" t="s">
        <v>27</v>
      </c>
      <c r="H122" s="1">
        <v>45403</v>
      </c>
      <c r="I122" s="1">
        <v>45403</v>
      </c>
      <c r="J122">
        <f>Sheet1[[#This Row],[Close Date]]-Sheet1[[#This Row],[Open Date]]</f>
        <v>0</v>
      </c>
      <c r="K122" t="str">
        <f>IF(Sheet1[[#This Row],[Actual Days]]&gt;=1,"Not Met","Met")</f>
        <v>Met</v>
      </c>
      <c r="L122" t="str">
        <f>TEXT(Sheet1[[#This Row],[Open Date]],"mmm")</f>
        <v>Apr</v>
      </c>
    </row>
    <row r="123" spans="1:12" x14ac:dyDescent="0.3">
      <c r="A123" t="s">
        <v>299</v>
      </c>
      <c r="B123" t="s">
        <v>22</v>
      </c>
      <c r="C123" t="s">
        <v>84</v>
      </c>
      <c r="D123" t="s">
        <v>24</v>
      </c>
      <c r="E123" t="s">
        <v>300</v>
      </c>
      <c r="F123" t="s">
        <v>26</v>
      </c>
      <c r="G123" t="s">
        <v>45</v>
      </c>
      <c r="H123" s="1">
        <v>45450</v>
      </c>
      <c r="I123" s="1">
        <v>45450</v>
      </c>
      <c r="J123">
        <f>Sheet1[[#This Row],[Close Date]]-Sheet1[[#This Row],[Open Date]]</f>
        <v>0</v>
      </c>
      <c r="K123" t="str">
        <f>IF(Sheet1[[#This Row],[Actual Days]]&gt;=1,"Not Met","Met")</f>
        <v>Met</v>
      </c>
      <c r="L123" t="str">
        <f>TEXT(Sheet1[[#This Row],[Open Date]],"mmm")</f>
        <v>Jun</v>
      </c>
    </row>
    <row r="124" spans="1:12" x14ac:dyDescent="0.3">
      <c r="A124" t="s">
        <v>301</v>
      </c>
      <c r="B124" t="s">
        <v>36</v>
      </c>
      <c r="C124" t="s">
        <v>37</v>
      </c>
      <c r="D124" t="s">
        <v>87</v>
      </c>
      <c r="E124" t="s">
        <v>302</v>
      </c>
      <c r="F124" t="s">
        <v>40</v>
      </c>
      <c r="G124" t="s">
        <v>59</v>
      </c>
      <c r="H124" s="1">
        <v>45299</v>
      </c>
      <c r="I124" s="1">
        <v>45299</v>
      </c>
      <c r="J124">
        <f>Sheet1[[#This Row],[Close Date]]-Sheet1[[#This Row],[Open Date]]</f>
        <v>0</v>
      </c>
      <c r="K124" t="str">
        <f>IF(Sheet1[[#This Row],[Actual Days]]&gt;=1,"Not Met","Met")</f>
        <v>Met</v>
      </c>
      <c r="L124" t="str">
        <f>TEXT(Sheet1[[#This Row],[Open Date]],"mmm")</f>
        <v>Jan</v>
      </c>
    </row>
    <row r="125" spans="1:12" x14ac:dyDescent="0.3">
      <c r="A125" t="s">
        <v>303</v>
      </c>
      <c r="B125" t="s">
        <v>36</v>
      </c>
      <c r="C125" t="s">
        <v>62</v>
      </c>
      <c r="D125" t="s">
        <v>156</v>
      </c>
      <c r="E125" t="s">
        <v>304</v>
      </c>
      <c r="F125" t="s">
        <v>17</v>
      </c>
      <c r="G125" t="s">
        <v>59</v>
      </c>
      <c r="H125" s="1">
        <v>45432</v>
      </c>
      <c r="I125" s="1">
        <v>45432</v>
      </c>
      <c r="J125">
        <f>Sheet1[[#This Row],[Close Date]]-Sheet1[[#This Row],[Open Date]]</f>
        <v>0</v>
      </c>
      <c r="K125" t="str">
        <f>IF(Sheet1[[#This Row],[Actual Days]]&gt;=1,"Not Met","Met")</f>
        <v>Met</v>
      </c>
      <c r="L125" t="str">
        <f>TEXT(Sheet1[[#This Row],[Open Date]],"mmm")</f>
        <v>May</v>
      </c>
    </row>
    <row r="126" spans="1:12" x14ac:dyDescent="0.3">
      <c r="A126" t="s">
        <v>305</v>
      </c>
      <c r="B126" t="s">
        <v>30</v>
      </c>
      <c r="C126" t="s">
        <v>31</v>
      </c>
      <c r="D126" t="s">
        <v>94</v>
      </c>
      <c r="E126" t="s">
        <v>306</v>
      </c>
      <c r="F126" t="s">
        <v>26</v>
      </c>
      <c r="G126" t="s">
        <v>18</v>
      </c>
      <c r="H126" s="1">
        <v>45405</v>
      </c>
      <c r="I126" s="1">
        <v>45405</v>
      </c>
      <c r="J126">
        <f>Sheet1[[#This Row],[Close Date]]-Sheet1[[#This Row],[Open Date]]</f>
        <v>0</v>
      </c>
      <c r="K126" t="str">
        <f>IF(Sheet1[[#This Row],[Actual Days]]&gt;=1,"Not Met","Met")</f>
        <v>Met</v>
      </c>
      <c r="L126" t="str">
        <f>TEXT(Sheet1[[#This Row],[Open Date]],"mmm")</f>
        <v>Apr</v>
      </c>
    </row>
    <row r="127" spans="1:12" x14ac:dyDescent="0.3">
      <c r="A127" t="s">
        <v>307</v>
      </c>
      <c r="B127" t="s">
        <v>42</v>
      </c>
      <c r="C127" t="s">
        <v>43</v>
      </c>
      <c r="D127" t="s">
        <v>15</v>
      </c>
      <c r="E127" t="s">
        <v>308</v>
      </c>
      <c r="F127" t="s">
        <v>26</v>
      </c>
      <c r="G127" t="s">
        <v>45</v>
      </c>
      <c r="H127" s="1">
        <v>45330</v>
      </c>
      <c r="I127" s="1">
        <v>45330</v>
      </c>
      <c r="J127">
        <f>Sheet1[[#This Row],[Close Date]]-Sheet1[[#This Row],[Open Date]]</f>
        <v>0</v>
      </c>
      <c r="K127" t="str">
        <f>IF(Sheet1[[#This Row],[Actual Days]]&gt;=1,"Not Met","Met")</f>
        <v>Met</v>
      </c>
      <c r="L127" t="str">
        <f>TEXT(Sheet1[[#This Row],[Open Date]],"mmm")</f>
        <v>Feb</v>
      </c>
    </row>
    <row r="128" spans="1:12" x14ac:dyDescent="0.3">
      <c r="A128" t="s">
        <v>309</v>
      </c>
      <c r="B128" t="s">
        <v>30</v>
      </c>
      <c r="C128" t="s">
        <v>31</v>
      </c>
      <c r="D128" t="s">
        <v>38</v>
      </c>
      <c r="E128" t="s">
        <v>310</v>
      </c>
      <c r="F128" t="s">
        <v>26</v>
      </c>
      <c r="G128" t="s">
        <v>49</v>
      </c>
      <c r="H128" s="1">
        <v>45414</v>
      </c>
      <c r="I128" s="1">
        <v>45414</v>
      </c>
      <c r="J128">
        <f>Sheet1[[#This Row],[Close Date]]-Sheet1[[#This Row],[Open Date]]</f>
        <v>0</v>
      </c>
      <c r="K128" t="str">
        <f>IF(Sheet1[[#This Row],[Actual Days]]&gt;=1,"Not Met","Met")</f>
        <v>Met</v>
      </c>
      <c r="L128" t="str">
        <f>TEXT(Sheet1[[#This Row],[Open Date]],"mmm")</f>
        <v>May</v>
      </c>
    </row>
    <row r="129" spans="1:12" x14ac:dyDescent="0.3">
      <c r="A129" t="s">
        <v>311</v>
      </c>
      <c r="B129" t="s">
        <v>13</v>
      </c>
      <c r="C129" t="s">
        <v>65</v>
      </c>
      <c r="D129" t="s">
        <v>94</v>
      </c>
      <c r="E129" t="s">
        <v>312</v>
      </c>
      <c r="F129" t="s">
        <v>40</v>
      </c>
      <c r="G129" t="s">
        <v>45</v>
      </c>
      <c r="H129" s="1">
        <v>45399</v>
      </c>
      <c r="I129" s="1">
        <v>45399</v>
      </c>
      <c r="J129">
        <f>Sheet1[[#This Row],[Close Date]]-Sheet1[[#This Row],[Open Date]]</f>
        <v>0</v>
      </c>
      <c r="K129" t="str">
        <f>IF(Sheet1[[#This Row],[Actual Days]]&gt;=1,"Not Met","Met")</f>
        <v>Met</v>
      </c>
      <c r="L129" t="str">
        <f>TEXT(Sheet1[[#This Row],[Open Date]],"mmm")</f>
        <v>Apr</v>
      </c>
    </row>
    <row r="130" spans="1:12" x14ac:dyDescent="0.3">
      <c r="A130" t="s">
        <v>313</v>
      </c>
      <c r="B130" t="s">
        <v>30</v>
      </c>
      <c r="C130" t="s">
        <v>51</v>
      </c>
      <c r="D130" t="s">
        <v>73</v>
      </c>
      <c r="E130" t="s">
        <v>314</v>
      </c>
      <c r="F130" t="s">
        <v>17</v>
      </c>
      <c r="G130" t="s">
        <v>18</v>
      </c>
      <c r="H130" s="1">
        <v>45304</v>
      </c>
      <c r="I130" s="1">
        <v>45304</v>
      </c>
      <c r="J130">
        <f>Sheet1[[#This Row],[Close Date]]-Sheet1[[#This Row],[Open Date]]</f>
        <v>0</v>
      </c>
      <c r="K130" t="str">
        <f>IF(Sheet1[[#This Row],[Actual Days]]&gt;=1,"Not Met","Met")</f>
        <v>Met</v>
      </c>
      <c r="L130" t="str">
        <f>TEXT(Sheet1[[#This Row],[Open Date]],"mmm")</f>
        <v>Jan</v>
      </c>
    </row>
    <row r="131" spans="1:12" x14ac:dyDescent="0.3">
      <c r="A131" t="s">
        <v>315</v>
      </c>
      <c r="B131" t="s">
        <v>22</v>
      </c>
      <c r="C131" t="s">
        <v>23</v>
      </c>
      <c r="D131" t="s">
        <v>38</v>
      </c>
      <c r="E131" t="s">
        <v>316</v>
      </c>
      <c r="F131" t="s">
        <v>17</v>
      </c>
      <c r="G131" t="s">
        <v>34</v>
      </c>
      <c r="H131" s="1">
        <v>45305</v>
      </c>
      <c r="I131" s="1">
        <v>45306</v>
      </c>
      <c r="J131">
        <f>Sheet1[[#This Row],[Close Date]]-Sheet1[[#This Row],[Open Date]]</f>
        <v>1</v>
      </c>
      <c r="K131" t="str">
        <f>IF(Sheet1[[#This Row],[Actual Days]]&gt;=1,"Not Met","Met")</f>
        <v>Not Met</v>
      </c>
      <c r="L131" t="str">
        <f>TEXT(Sheet1[[#This Row],[Open Date]],"mmm")</f>
        <v>Jan</v>
      </c>
    </row>
    <row r="132" spans="1:12" x14ac:dyDescent="0.3">
      <c r="A132" t="s">
        <v>317</v>
      </c>
      <c r="B132" t="s">
        <v>13</v>
      </c>
      <c r="C132" t="s">
        <v>65</v>
      </c>
      <c r="D132" t="s">
        <v>38</v>
      </c>
      <c r="E132" t="s">
        <v>318</v>
      </c>
      <c r="F132" t="s">
        <v>17</v>
      </c>
      <c r="G132" t="s">
        <v>59</v>
      </c>
      <c r="H132" s="1">
        <v>45337</v>
      </c>
      <c r="I132" s="1">
        <v>45337</v>
      </c>
      <c r="J132">
        <f>Sheet1[[#This Row],[Close Date]]-Sheet1[[#This Row],[Open Date]]</f>
        <v>0</v>
      </c>
      <c r="K132" t="str">
        <f>IF(Sheet1[[#This Row],[Actual Days]]&gt;=1,"Not Met","Met")</f>
        <v>Met</v>
      </c>
      <c r="L132" t="str">
        <f>TEXT(Sheet1[[#This Row],[Open Date]],"mmm")</f>
        <v>Feb</v>
      </c>
    </row>
    <row r="133" spans="1:12" x14ac:dyDescent="0.3">
      <c r="A133" t="s">
        <v>319</v>
      </c>
      <c r="B133" t="s">
        <v>30</v>
      </c>
      <c r="C133" t="s">
        <v>161</v>
      </c>
      <c r="D133" t="s">
        <v>15</v>
      </c>
      <c r="E133" t="s">
        <v>320</v>
      </c>
      <c r="F133" t="s">
        <v>26</v>
      </c>
      <c r="G133" t="s">
        <v>34</v>
      </c>
      <c r="H133" s="1">
        <v>45302</v>
      </c>
      <c r="I133" s="1">
        <v>45302</v>
      </c>
      <c r="J133">
        <f>Sheet1[[#This Row],[Close Date]]-Sheet1[[#This Row],[Open Date]]</f>
        <v>0</v>
      </c>
      <c r="K133" t="str">
        <f>IF(Sheet1[[#This Row],[Actual Days]]&gt;=1,"Not Met","Met")</f>
        <v>Met</v>
      </c>
      <c r="L133" t="str">
        <f>TEXT(Sheet1[[#This Row],[Open Date]],"mmm")</f>
        <v>Jan</v>
      </c>
    </row>
    <row r="134" spans="1:12" x14ac:dyDescent="0.3">
      <c r="A134" t="s">
        <v>321</v>
      </c>
      <c r="B134" t="s">
        <v>36</v>
      </c>
      <c r="C134" t="s">
        <v>76</v>
      </c>
      <c r="D134" t="s">
        <v>38</v>
      </c>
      <c r="E134" t="s">
        <v>322</v>
      </c>
      <c r="F134" t="s">
        <v>40</v>
      </c>
      <c r="G134" t="s">
        <v>59</v>
      </c>
      <c r="H134" s="1">
        <v>45381</v>
      </c>
      <c r="I134" s="1">
        <v>45381</v>
      </c>
      <c r="J134">
        <f>Sheet1[[#This Row],[Close Date]]-Sheet1[[#This Row],[Open Date]]</f>
        <v>0</v>
      </c>
      <c r="K134" t="str">
        <f>IF(Sheet1[[#This Row],[Actual Days]]&gt;=1,"Not Met","Met")</f>
        <v>Met</v>
      </c>
      <c r="L134" t="str">
        <f>TEXT(Sheet1[[#This Row],[Open Date]],"mmm")</f>
        <v>Mar</v>
      </c>
    </row>
    <row r="135" spans="1:12" x14ac:dyDescent="0.3">
      <c r="A135" t="s">
        <v>323</v>
      </c>
      <c r="B135" t="s">
        <v>13</v>
      </c>
      <c r="C135" t="s">
        <v>14</v>
      </c>
      <c r="D135" t="s">
        <v>156</v>
      </c>
      <c r="E135" t="s">
        <v>324</v>
      </c>
      <c r="F135" t="s">
        <v>17</v>
      </c>
      <c r="G135" t="s">
        <v>49</v>
      </c>
      <c r="H135" s="1">
        <v>45306</v>
      </c>
      <c r="I135" s="1">
        <v>45307</v>
      </c>
      <c r="J135">
        <f>Sheet1[[#This Row],[Close Date]]-Sheet1[[#This Row],[Open Date]]</f>
        <v>1</v>
      </c>
      <c r="K135" t="str">
        <f>IF(Sheet1[[#This Row],[Actual Days]]&gt;=1,"Not Met","Met")</f>
        <v>Not Met</v>
      </c>
      <c r="L135" t="str">
        <f>TEXT(Sheet1[[#This Row],[Open Date]],"mmm")</f>
        <v>Jan</v>
      </c>
    </row>
    <row r="136" spans="1:12" x14ac:dyDescent="0.3">
      <c r="A136" t="s">
        <v>325</v>
      </c>
      <c r="B136" t="s">
        <v>13</v>
      </c>
      <c r="C136" t="s">
        <v>14</v>
      </c>
      <c r="D136" t="s">
        <v>38</v>
      </c>
      <c r="E136" t="s">
        <v>326</v>
      </c>
      <c r="F136" t="s">
        <v>17</v>
      </c>
      <c r="G136" t="s">
        <v>45</v>
      </c>
      <c r="H136" s="1">
        <v>45386</v>
      </c>
      <c r="I136" s="1">
        <v>45386</v>
      </c>
      <c r="J136">
        <f>Sheet1[[#This Row],[Close Date]]-Sheet1[[#This Row],[Open Date]]</f>
        <v>0</v>
      </c>
      <c r="K136" t="str">
        <f>IF(Sheet1[[#This Row],[Actual Days]]&gt;=1,"Not Met","Met")</f>
        <v>Met</v>
      </c>
      <c r="L136" t="str">
        <f>TEXT(Sheet1[[#This Row],[Open Date]],"mmm")</f>
        <v>Apr</v>
      </c>
    </row>
    <row r="137" spans="1:12" x14ac:dyDescent="0.3">
      <c r="A137" t="s">
        <v>327</v>
      </c>
      <c r="B137" t="s">
        <v>13</v>
      </c>
      <c r="C137" t="s">
        <v>14</v>
      </c>
      <c r="D137" t="s">
        <v>32</v>
      </c>
      <c r="E137" t="s">
        <v>328</v>
      </c>
      <c r="F137" t="s">
        <v>26</v>
      </c>
      <c r="G137" t="s">
        <v>18</v>
      </c>
      <c r="H137" s="1">
        <v>45333</v>
      </c>
      <c r="I137" s="1">
        <v>45333</v>
      </c>
      <c r="J137">
        <f>Sheet1[[#This Row],[Close Date]]-Sheet1[[#This Row],[Open Date]]</f>
        <v>0</v>
      </c>
      <c r="K137" t="str">
        <f>IF(Sheet1[[#This Row],[Actual Days]]&gt;=1,"Not Met","Met")</f>
        <v>Met</v>
      </c>
      <c r="L137" t="str">
        <f>TEXT(Sheet1[[#This Row],[Open Date]],"mmm")</f>
        <v>Feb</v>
      </c>
    </row>
    <row r="138" spans="1:12" x14ac:dyDescent="0.3">
      <c r="A138" t="s">
        <v>329</v>
      </c>
      <c r="B138" t="s">
        <v>22</v>
      </c>
      <c r="C138" t="s">
        <v>101</v>
      </c>
      <c r="D138" t="s">
        <v>38</v>
      </c>
      <c r="E138" t="s">
        <v>330</v>
      </c>
      <c r="F138" t="s">
        <v>26</v>
      </c>
      <c r="G138" t="s">
        <v>59</v>
      </c>
      <c r="H138" s="1">
        <v>45353</v>
      </c>
      <c r="I138" s="1">
        <v>45353</v>
      </c>
      <c r="J138">
        <f>Sheet1[[#This Row],[Close Date]]-Sheet1[[#This Row],[Open Date]]</f>
        <v>0</v>
      </c>
      <c r="K138" t="str">
        <f>IF(Sheet1[[#This Row],[Actual Days]]&gt;=1,"Not Met","Met")</f>
        <v>Met</v>
      </c>
      <c r="L138" t="str">
        <f>TEXT(Sheet1[[#This Row],[Open Date]],"mmm")</f>
        <v>Mar</v>
      </c>
    </row>
    <row r="139" spans="1:12" x14ac:dyDescent="0.3">
      <c r="A139" t="s">
        <v>331</v>
      </c>
      <c r="B139" t="s">
        <v>42</v>
      </c>
      <c r="C139" t="s">
        <v>107</v>
      </c>
      <c r="D139" t="s">
        <v>38</v>
      </c>
      <c r="E139" t="s">
        <v>332</v>
      </c>
      <c r="F139" t="s">
        <v>26</v>
      </c>
      <c r="G139" t="s">
        <v>59</v>
      </c>
      <c r="H139" s="1">
        <v>45436</v>
      </c>
      <c r="I139" s="1">
        <v>45436</v>
      </c>
      <c r="J139">
        <f>Sheet1[[#This Row],[Close Date]]-Sheet1[[#This Row],[Open Date]]</f>
        <v>0</v>
      </c>
      <c r="K139" t="str">
        <f>IF(Sheet1[[#This Row],[Actual Days]]&gt;=1,"Not Met","Met")</f>
        <v>Met</v>
      </c>
      <c r="L139" t="str">
        <f>TEXT(Sheet1[[#This Row],[Open Date]],"mmm")</f>
        <v>May</v>
      </c>
    </row>
    <row r="140" spans="1:12" x14ac:dyDescent="0.3">
      <c r="A140" t="s">
        <v>333</v>
      </c>
      <c r="B140" t="s">
        <v>13</v>
      </c>
      <c r="C140" t="s">
        <v>68</v>
      </c>
      <c r="D140" t="s">
        <v>38</v>
      </c>
      <c r="E140" t="s">
        <v>334</v>
      </c>
      <c r="F140" t="s">
        <v>40</v>
      </c>
      <c r="G140" t="s">
        <v>45</v>
      </c>
      <c r="H140" s="1">
        <v>45352</v>
      </c>
      <c r="I140" s="1">
        <v>45352</v>
      </c>
      <c r="J140">
        <f>Sheet1[[#This Row],[Close Date]]-Sheet1[[#This Row],[Open Date]]</f>
        <v>0</v>
      </c>
      <c r="K140" t="str">
        <f>IF(Sheet1[[#This Row],[Actual Days]]&gt;=1,"Not Met","Met")</f>
        <v>Met</v>
      </c>
      <c r="L140" t="str">
        <f>TEXT(Sheet1[[#This Row],[Open Date]],"mmm")</f>
        <v>Mar</v>
      </c>
    </row>
    <row r="141" spans="1:12" x14ac:dyDescent="0.3">
      <c r="A141" t="s">
        <v>335</v>
      </c>
      <c r="B141" t="s">
        <v>22</v>
      </c>
      <c r="C141" t="s">
        <v>84</v>
      </c>
      <c r="D141" t="s">
        <v>156</v>
      </c>
      <c r="E141" t="s">
        <v>336</v>
      </c>
      <c r="F141" t="s">
        <v>17</v>
      </c>
      <c r="G141" t="s">
        <v>59</v>
      </c>
      <c r="H141" s="1">
        <v>45339</v>
      </c>
      <c r="I141" s="1">
        <v>45339</v>
      </c>
      <c r="J141">
        <f>Sheet1[[#This Row],[Close Date]]-Sheet1[[#This Row],[Open Date]]</f>
        <v>0</v>
      </c>
      <c r="K141" t="str">
        <f>IF(Sheet1[[#This Row],[Actual Days]]&gt;=1,"Not Met","Met")</f>
        <v>Met</v>
      </c>
      <c r="L141" t="str">
        <f>TEXT(Sheet1[[#This Row],[Open Date]],"mmm")</f>
        <v>Feb</v>
      </c>
    </row>
    <row r="142" spans="1:12" x14ac:dyDescent="0.3">
      <c r="A142" t="s">
        <v>337</v>
      </c>
      <c r="B142" t="s">
        <v>13</v>
      </c>
      <c r="C142" t="s">
        <v>14</v>
      </c>
      <c r="D142" t="s">
        <v>73</v>
      </c>
      <c r="E142" t="s">
        <v>338</v>
      </c>
      <c r="F142" t="s">
        <v>40</v>
      </c>
      <c r="G142" t="s">
        <v>49</v>
      </c>
      <c r="H142" s="1">
        <v>45304</v>
      </c>
      <c r="I142" s="1">
        <v>45305</v>
      </c>
      <c r="J142">
        <f>Sheet1[[#This Row],[Close Date]]-Sheet1[[#This Row],[Open Date]]</f>
        <v>1</v>
      </c>
      <c r="K142" t="str">
        <f>IF(Sheet1[[#This Row],[Actual Days]]&gt;=1,"Not Met","Met")</f>
        <v>Not Met</v>
      </c>
      <c r="L142" t="str">
        <f>TEXT(Sheet1[[#This Row],[Open Date]],"mmm")</f>
        <v>Jan</v>
      </c>
    </row>
    <row r="143" spans="1:12" x14ac:dyDescent="0.3">
      <c r="A143" t="s">
        <v>339</v>
      </c>
      <c r="B143" t="s">
        <v>22</v>
      </c>
      <c r="C143" t="s">
        <v>23</v>
      </c>
      <c r="D143" t="s">
        <v>15</v>
      </c>
      <c r="E143" t="s">
        <v>340</v>
      </c>
      <c r="F143" t="s">
        <v>26</v>
      </c>
      <c r="G143" t="s">
        <v>34</v>
      </c>
      <c r="H143" s="1">
        <v>45378</v>
      </c>
      <c r="I143" s="1">
        <v>45378</v>
      </c>
      <c r="J143">
        <f>Sheet1[[#This Row],[Close Date]]-Sheet1[[#This Row],[Open Date]]</f>
        <v>0</v>
      </c>
      <c r="K143" t="str">
        <f>IF(Sheet1[[#This Row],[Actual Days]]&gt;=1,"Not Met","Met")</f>
        <v>Met</v>
      </c>
      <c r="L143" t="str">
        <f>TEXT(Sheet1[[#This Row],[Open Date]],"mmm")</f>
        <v>Mar</v>
      </c>
    </row>
    <row r="144" spans="1:12" x14ac:dyDescent="0.3">
      <c r="A144" t="s">
        <v>341</v>
      </c>
      <c r="B144" t="s">
        <v>36</v>
      </c>
      <c r="C144" t="s">
        <v>37</v>
      </c>
      <c r="D144" t="s">
        <v>156</v>
      </c>
      <c r="E144" t="s">
        <v>342</v>
      </c>
      <c r="F144" t="s">
        <v>26</v>
      </c>
      <c r="G144" t="s">
        <v>59</v>
      </c>
      <c r="H144" s="1">
        <v>45360</v>
      </c>
      <c r="I144" s="1">
        <v>45360</v>
      </c>
      <c r="J144">
        <f>Sheet1[[#This Row],[Close Date]]-Sheet1[[#This Row],[Open Date]]</f>
        <v>0</v>
      </c>
      <c r="K144" t="str">
        <f>IF(Sheet1[[#This Row],[Actual Days]]&gt;=1,"Not Met","Met")</f>
        <v>Met</v>
      </c>
      <c r="L144" t="str">
        <f>TEXT(Sheet1[[#This Row],[Open Date]],"mmm")</f>
        <v>Mar</v>
      </c>
    </row>
    <row r="145" spans="1:12" x14ac:dyDescent="0.3">
      <c r="A145" t="s">
        <v>343</v>
      </c>
      <c r="B145" t="s">
        <v>22</v>
      </c>
      <c r="C145" t="s">
        <v>84</v>
      </c>
      <c r="D145" t="s">
        <v>15</v>
      </c>
      <c r="E145" t="s">
        <v>344</v>
      </c>
      <c r="F145" t="s">
        <v>40</v>
      </c>
      <c r="G145" t="s">
        <v>27</v>
      </c>
      <c r="H145" s="1">
        <v>45405</v>
      </c>
      <c r="I145" s="1">
        <v>45405</v>
      </c>
      <c r="J145">
        <f>Sheet1[[#This Row],[Close Date]]-Sheet1[[#This Row],[Open Date]]</f>
        <v>0</v>
      </c>
      <c r="K145" t="str">
        <f>IF(Sheet1[[#This Row],[Actual Days]]&gt;=1,"Not Met","Met")</f>
        <v>Met</v>
      </c>
      <c r="L145" t="str">
        <f>TEXT(Sheet1[[#This Row],[Open Date]],"mmm")</f>
        <v>Apr</v>
      </c>
    </row>
    <row r="146" spans="1:12" x14ac:dyDescent="0.3">
      <c r="A146" t="s">
        <v>345</v>
      </c>
      <c r="B146" t="s">
        <v>30</v>
      </c>
      <c r="C146" t="s">
        <v>161</v>
      </c>
      <c r="D146" t="s">
        <v>87</v>
      </c>
      <c r="E146" t="s">
        <v>346</v>
      </c>
      <c r="F146" t="s">
        <v>17</v>
      </c>
      <c r="G146" t="s">
        <v>18</v>
      </c>
      <c r="H146" s="1">
        <v>45393</v>
      </c>
      <c r="I146" s="1">
        <v>45393</v>
      </c>
      <c r="J146">
        <f>Sheet1[[#This Row],[Close Date]]-Sheet1[[#This Row],[Open Date]]</f>
        <v>0</v>
      </c>
      <c r="K146" t="str">
        <f>IF(Sheet1[[#This Row],[Actual Days]]&gt;=1,"Not Met","Met")</f>
        <v>Met</v>
      </c>
      <c r="L146" t="str">
        <f>TEXT(Sheet1[[#This Row],[Open Date]],"mmm")</f>
        <v>Apr</v>
      </c>
    </row>
    <row r="147" spans="1:12" x14ac:dyDescent="0.3">
      <c r="A147" t="s">
        <v>347</v>
      </c>
      <c r="B147" t="s">
        <v>22</v>
      </c>
      <c r="C147" t="s">
        <v>84</v>
      </c>
      <c r="D147" t="s">
        <v>94</v>
      </c>
      <c r="E147" t="s">
        <v>348</v>
      </c>
      <c r="F147" t="s">
        <v>40</v>
      </c>
      <c r="G147" t="s">
        <v>34</v>
      </c>
      <c r="H147" s="1">
        <v>45375</v>
      </c>
      <c r="I147" s="1">
        <v>45375</v>
      </c>
      <c r="J147">
        <f>Sheet1[[#This Row],[Close Date]]-Sheet1[[#This Row],[Open Date]]</f>
        <v>0</v>
      </c>
      <c r="K147" t="str">
        <f>IF(Sheet1[[#This Row],[Actual Days]]&gt;=1,"Not Met","Met")</f>
        <v>Met</v>
      </c>
      <c r="L147" t="str">
        <f>TEXT(Sheet1[[#This Row],[Open Date]],"mmm")</f>
        <v>Mar</v>
      </c>
    </row>
    <row r="148" spans="1:12" x14ac:dyDescent="0.3">
      <c r="A148" t="s">
        <v>349</v>
      </c>
      <c r="B148" t="s">
        <v>13</v>
      </c>
      <c r="C148" t="s">
        <v>68</v>
      </c>
      <c r="D148" t="s">
        <v>156</v>
      </c>
      <c r="E148" t="s">
        <v>350</v>
      </c>
      <c r="F148" t="s">
        <v>17</v>
      </c>
      <c r="G148" t="s">
        <v>59</v>
      </c>
      <c r="H148" s="1">
        <v>45315</v>
      </c>
      <c r="I148" s="1">
        <v>45315</v>
      </c>
      <c r="J148">
        <f>Sheet1[[#This Row],[Close Date]]-Sheet1[[#This Row],[Open Date]]</f>
        <v>0</v>
      </c>
      <c r="K148" t="str">
        <f>IF(Sheet1[[#This Row],[Actual Days]]&gt;=1,"Not Met","Met")</f>
        <v>Met</v>
      </c>
      <c r="L148" t="str">
        <f>TEXT(Sheet1[[#This Row],[Open Date]],"mmm")</f>
        <v>Jan</v>
      </c>
    </row>
    <row r="149" spans="1:12" x14ac:dyDescent="0.3">
      <c r="A149" t="s">
        <v>351</v>
      </c>
      <c r="B149" t="s">
        <v>36</v>
      </c>
      <c r="C149" t="s">
        <v>76</v>
      </c>
      <c r="D149" t="s">
        <v>32</v>
      </c>
      <c r="E149" t="s">
        <v>352</v>
      </c>
      <c r="F149" t="s">
        <v>40</v>
      </c>
      <c r="G149" t="s">
        <v>27</v>
      </c>
      <c r="H149" s="1">
        <v>45399</v>
      </c>
      <c r="I149" s="1">
        <v>45399</v>
      </c>
      <c r="J149">
        <f>Sheet1[[#This Row],[Close Date]]-Sheet1[[#This Row],[Open Date]]</f>
        <v>0</v>
      </c>
      <c r="K149" t="str">
        <f>IF(Sheet1[[#This Row],[Actual Days]]&gt;=1,"Not Met","Met")</f>
        <v>Met</v>
      </c>
      <c r="L149" t="str">
        <f>TEXT(Sheet1[[#This Row],[Open Date]],"mmm")</f>
        <v>Apr</v>
      </c>
    </row>
    <row r="150" spans="1:12" x14ac:dyDescent="0.3">
      <c r="A150" t="s">
        <v>353</v>
      </c>
      <c r="B150" t="s">
        <v>36</v>
      </c>
      <c r="C150" t="s">
        <v>76</v>
      </c>
      <c r="D150" t="s">
        <v>38</v>
      </c>
      <c r="E150" t="s">
        <v>354</v>
      </c>
      <c r="F150" t="s">
        <v>40</v>
      </c>
      <c r="G150" t="s">
        <v>59</v>
      </c>
      <c r="H150" s="1">
        <v>45425</v>
      </c>
      <c r="I150" s="1">
        <v>45425</v>
      </c>
      <c r="J150">
        <f>Sheet1[[#This Row],[Close Date]]-Sheet1[[#This Row],[Open Date]]</f>
        <v>0</v>
      </c>
      <c r="K150" t="str">
        <f>IF(Sheet1[[#This Row],[Actual Days]]&gt;=1,"Not Met","Met")</f>
        <v>Met</v>
      </c>
      <c r="L150" t="str">
        <f>TEXT(Sheet1[[#This Row],[Open Date]],"mmm")</f>
        <v>May</v>
      </c>
    </row>
    <row r="151" spans="1:12" x14ac:dyDescent="0.3">
      <c r="A151" t="s">
        <v>355</v>
      </c>
      <c r="B151" t="s">
        <v>42</v>
      </c>
      <c r="C151" t="s">
        <v>43</v>
      </c>
      <c r="D151" t="s">
        <v>87</v>
      </c>
      <c r="E151" t="s">
        <v>356</v>
      </c>
      <c r="F151" t="s">
        <v>26</v>
      </c>
      <c r="G151" t="s">
        <v>49</v>
      </c>
      <c r="H151" s="1">
        <v>45405</v>
      </c>
      <c r="I151" s="1">
        <v>45405</v>
      </c>
      <c r="J151">
        <f>Sheet1[[#This Row],[Close Date]]-Sheet1[[#This Row],[Open Date]]</f>
        <v>0</v>
      </c>
      <c r="K151" t="str">
        <f>IF(Sheet1[[#This Row],[Actual Days]]&gt;=1,"Not Met","Met")</f>
        <v>Met</v>
      </c>
      <c r="L151" t="str">
        <f>TEXT(Sheet1[[#This Row],[Open Date]],"mmm")</f>
        <v>Apr</v>
      </c>
    </row>
    <row r="152" spans="1:12" x14ac:dyDescent="0.3">
      <c r="A152" t="s">
        <v>357</v>
      </c>
      <c r="B152" t="s">
        <v>13</v>
      </c>
      <c r="C152" t="s">
        <v>14</v>
      </c>
      <c r="D152" t="s">
        <v>15</v>
      </c>
      <c r="E152" t="s">
        <v>358</v>
      </c>
      <c r="F152" t="s">
        <v>40</v>
      </c>
      <c r="G152" t="s">
        <v>59</v>
      </c>
      <c r="H152" s="1">
        <v>45333</v>
      </c>
      <c r="I152" s="1">
        <v>45333</v>
      </c>
      <c r="J152">
        <f>Sheet1[[#This Row],[Close Date]]-Sheet1[[#This Row],[Open Date]]</f>
        <v>0</v>
      </c>
      <c r="K152" t="str">
        <f>IF(Sheet1[[#This Row],[Actual Days]]&gt;=1,"Not Met","Met")</f>
        <v>Met</v>
      </c>
      <c r="L152" t="str">
        <f>TEXT(Sheet1[[#This Row],[Open Date]],"mmm")</f>
        <v>Feb</v>
      </c>
    </row>
    <row r="153" spans="1:12" x14ac:dyDescent="0.3">
      <c r="A153" t="s">
        <v>359</v>
      </c>
      <c r="B153" t="s">
        <v>36</v>
      </c>
      <c r="C153" t="s">
        <v>37</v>
      </c>
      <c r="D153" t="s">
        <v>156</v>
      </c>
      <c r="E153" t="s">
        <v>360</v>
      </c>
      <c r="F153" t="s">
        <v>17</v>
      </c>
      <c r="G153" t="s">
        <v>18</v>
      </c>
      <c r="H153" s="1">
        <v>45379</v>
      </c>
      <c r="I153" s="1">
        <v>45379</v>
      </c>
      <c r="J153">
        <f>Sheet1[[#This Row],[Close Date]]-Sheet1[[#This Row],[Open Date]]</f>
        <v>0</v>
      </c>
      <c r="K153" t="str">
        <f>IF(Sheet1[[#This Row],[Actual Days]]&gt;=1,"Not Met","Met")</f>
        <v>Met</v>
      </c>
      <c r="L153" t="str">
        <f>TEXT(Sheet1[[#This Row],[Open Date]],"mmm")</f>
        <v>Mar</v>
      </c>
    </row>
    <row r="154" spans="1:12" x14ac:dyDescent="0.3">
      <c r="A154" t="s">
        <v>361</v>
      </c>
      <c r="B154" t="s">
        <v>22</v>
      </c>
      <c r="C154" t="s">
        <v>84</v>
      </c>
      <c r="D154" t="s">
        <v>87</v>
      </c>
      <c r="E154" t="s">
        <v>362</v>
      </c>
      <c r="F154" t="s">
        <v>17</v>
      </c>
      <c r="G154" t="s">
        <v>45</v>
      </c>
      <c r="H154" s="1">
        <v>45447</v>
      </c>
      <c r="I154" s="1">
        <v>45447</v>
      </c>
      <c r="J154">
        <f>Sheet1[[#This Row],[Close Date]]-Sheet1[[#This Row],[Open Date]]</f>
        <v>0</v>
      </c>
      <c r="K154" t="str">
        <f>IF(Sheet1[[#This Row],[Actual Days]]&gt;=1,"Not Met","Met")</f>
        <v>Met</v>
      </c>
      <c r="L154" t="str">
        <f>TEXT(Sheet1[[#This Row],[Open Date]],"mmm")</f>
        <v>Jun</v>
      </c>
    </row>
    <row r="155" spans="1:12" x14ac:dyDescent="0.3">
      <c r="A155" t="s">
        <v>363</v>
      </c>
      <c r="B155" t="s">
        <v>42</v>
      </c>
      <c r="C155" t="s">
        <v>107</v>
      </c>
      <c r="D155" t="s">
        <v>38</v>
      </c>
      <c r="E155" t="s">
        <v>364</v>
      </c>
      <c r="F155" t="s">
        <v>26</v>
      </c>
      <c r="G155" t="s">
        <v>59</v>
      </c>
      <c r="H155" s="1">
        <v>45367</v>
      </c>
      <c r="I155" s="1">
        <v>45367</v>
      </c>
      <c r="J155">
        <f>Sheet1[[#This Row],[Close Date]]-Sheet1[[#This Row],[Open Date]]</f>
        <v>0</v>
      </c>
      <c r="K155" t="str">
        <f>IF(Sheet1[[#This Row],[Actual Days]]&gt;=1,"Not Met","Met")</f>
        <v>Met</v>
      </c>
      <c r="L155" t="str">
        <f>TEXT(Sheet1[[#This Row],[Open Date]],"mmm")</f>
        <v>Mar</v>
      </c>
    </row>
    <row r="156" spans="1:12" x14ac:dyDescent="0.3">
      <c r="A156" t="s">
        <v>365</v>
      </c>
      <c r="B156" t="s">
        <v>36</v>
      </c>
      <c r="C156" t="s">
        <v>62</v>
      </c>
      <c r="D156" t="s">
        <v>38</v>
      </c>
      <c r="E156" t="s">
        <v>366</v>
      </c>
      <c r="F156" t="s">
        <v>26</v>
      </c>
      <c r="G156" t="s">
        <v>34</v>
      </c>
      <c r="H156" s="1">
        <v>45417</v>
      </c>
      <c r="I156" s="1">
        <v>45417</v>
      </c>
      <c r="J156">
        <f>Sheet1[[#This Row],[Close Date]]-Sheet1[[#This Row],[Open Date]]</f>
        <v>0</v>
      </c>
      <c r="K156" t="str">
        <f>IF(Sheet1[[#This Row],[Actual Days]]&gt;=1,"Not Met","Met")</f>
        <v>Met</v>
      </c>
      <c r="L156" t="str">
        <f>TEXT(Sheet1[[#This Row],[Open Date]],"mmm")</f>
        <v>May</v>
      </c>
    </row>
    <row r="157" spans="1:12" x14ac:dyDescent="0.3">
      <c r="A157" t="s">
        <v>367</v>
      </c>
      <c r="B157" t="s">
        <v>42</v>
      </c>
      <c r="C157" t="s">
        <v>107</v>
      </c>
      <c r="D157" t="s">
        <v>15</v>
      </c>
      <c r="E157" t="s">
        <v>368</v>
      </c>
      <c r="F157" t="s">
        <v>40</v>
      </c>
      <c r="G157" t="s">
        <v>27</v>
      </c>
      <c r="H157" s="1">
        <v>45384</v>
      </c>
      <c r="I157" s="1">
        <v>45384</v>
      </c>
      <c r="J157">
        <f>Sheet1[[#This Row],[Close Date]]-Sheet1[[#This Row],[Open Date]]</f>
        <v>0</v>
      </c>
      <c r="K157" t="str">
        <f>IF(Sheet1[[#This Row],[Actual Days]]&gt;=1,"Not Met","Met")</f>
        <v>Met</v>
      </c>
      <c r="L157" t="str">
        <f>TEXT(Sheet1[[#This Row],[Open Date]],"mmm")</f>
        <v>Apr</v>
      </c>
    </row>
    <row r="158" spans="1:12" x14ac:dyDescent="0.3">
      <c r="A158" t="s">
        <v>369</v>
      </c>
      <c r="B158" t="s">
        <v>36</v>
      </c>
      <c r="C158" t="s">
        <v>37</v>
      </c>
      <c r="D158" t="s">
        <v>24</v>
      </c>
      <c r="E158" t="s">
        <v>370</v>
      </c>
      <c r="F158" t="s">
        <v>40</v>
      </c>
      <c r="G158" t="s">
        <v>45</v>
      </c>
      <c r="H158" s="1">
        <v>45311</v>
      </c>
      <c r="I158" s="1">
        <v>45311</v>
      </c>
      <c r="J158">
        <f>Sheet1[[#This Row],[Close Date]]-Sheet1[[#This Row],[Open Date]]</f>
        <v>0</v>
      </c>
      <c r="K158" t="str">
        <f>IF(Sheet1[[#This Row],[Actual Days]]&gt;=1,"Not Met","Met")</f>
        <v>Met</v>
      </c>
      <c r="L158" t="str">
        <f>TEXT(Sheet1[[#This Row],[Open Date]],"mmm")</f>
        <v>Jan</v>
      </c>
    </row>
    <row r="159" spans="1:12" x14ac:dyDescent="0.3">
      <c r="A159" t="s">
        <v>371</v>
      </c>
      <c r="B159" t="s">
        <v>13</v>
      </c>
      <c r="C159" t="s">
        <v>68</v>
      </c>
      <c r="D159" t="s">
        <v>15</v>
      </c>
      <c r="E159" t="s">
        <v>372</v>
      </c>
      <c r="F159" t="s">
        <v>26</v>
      </c>
      <c r="G159" t="s">
        <v>27</v>
      </c>
      <c r="H159" s="1">
        <v>45446</v>
      </c>
      <c r="I159" s="1">
        <v>45446</v>
      </c>
      <c r="J159">
        <f>Sheet1[[#This Row],[Close Date]]-Sheet1[[#This Row],[Open Date]]</f>
        <v>0</v>
      </c>
      <c r="K159" t="str">
        <f>IF(Sheet1[[#This Row],[Actual Days]]&gt;=1,"Not Met","Met")</f>
        <v>Met</v>
      </c>
      <c r="L159" t="str">
        <f>TEXT(Sheet1[[#This Row],[Open Date]],"mmm")</f>
        <v>Jun</v>
      </c>
    </row>
    <row r="160" spans="1:12" x14ac:dyDescent="0.3">
      <c r="A160" t="s">
        <v>373</v>
      </c>
      <c r="B160" t="s">
        <v>13</v>
      </c>
      <c r="C160" t="s">
        <v>14</v>
      </c>
      <c r="D160" t="s">
        <v>87</v>
      </c>
      <c r="E160" t="s">
        <v>374</v>
      </c>
      <c r="F160" t="s">
        <v>17</v>
      </c>
      <c r="G160" t="s">
        <v>18</v>
      </c>
      <c r="H160" s="1">
        <v>45370</v>
      </c>
      <c r="I160" s="1">
        <v>45370</v>
      </c>
      <c r="J160">
        <f>Sheet1[[#This Row],[Close Date]]-Sheet1[[#This Row],[Open Date]]</f>
        <v>0</v>
      </c>
      <c r="K160" t="str">
        <f>IF(Sheet1[[#This Row],[Actual Days]]&gt;=1,"Not Met","Met")</f>
        <v>Met</v>
      </c>
      <c r="L160" t="str">
        <f>TEXT(Sheet1[[#This Row],[Open Date]],"mmm")</f>
        <v>Mar</v>
      </c>
    </row>
    <row r="161" spans="1:12" x14ac:dyDescent="0.3">
      <c r="A161" t="s">
        <v>375</v>
      </c>
      <c r="B161" t="s">
        <v>13</v>
      </c>
      <c r="C161" t="s">
        <v>65</v>
      </c>
      <c r="D161" t="s">
        <v>38</v>
      </c>
      <c r="E161" t="s">
        <v>376</v>
      </c>
      <c r="F161" t="s">
        <v>17</v>
      </c>
      <c r="G161" t="s">
        <v>59</v>
      </c>
      <c r="H161" s="1">
        <v>45377</v>
      </c>
      <c r="I161" s="1">
        <v>45377</v>
      </c>
      <c r="J161">
        <f>Sheet1[[#This Row],[Close Date]]-Sheet1[[#This Row],[Open Date]]</f>
        <v>0</v>
      </c>
      <c r="K161" t="str">
        <f>IF(Sheet1[[#This Row],[Actual Days]]&gt;=1,"Not Met","Met")</f>
        <v>Met</v>
      </c>
      <c r="L161" t="str">
        <f>TEXT(Sheet1[[#This Row],[Open Date]],"mmm")</f>
        <v>Mar</v>
      </c>
    </row>
    <row r="162" spans="1:12" x14ac:dyDescent="0.3">
      <c r="A162" t="s">
        <v>377</v>
      </c>
      <c r="B162" t="s">
        <v>30</v>
      </c>
      <c r="C162" t="s">
        <v>51</v>
      </c>
      <c r="D162" t="s">
        <v>32</v>
      </c>
      <c r="E162" t="s">
        <v>378</v>
      </c>
      <c r="F162" t="s">
        <v>17</v>
      </c>
      <c r="G162" t="s">
        <v>18</v>
      </c>
      <c r="H162" s="1">
        <v>45362</v>
      </c>
      <c r="I162" s="1">
        <v>45362</v>
      </c>
      <c r="J162">
        <f>Sheet1[[#This Row],[Close Date]]-Sheet1[[#This Row],[Open Date]]</f>
        <v>0</v>
      </c>
      <c r="K162" t="str">
        <f>IF(Sheet1[[#This Row],[Actual Days]]&gt;=1,"Not Met","Met")</f>
        <v>Met</v>
      </c>
      <c r="L162" t="str">
        <f>TEXT(Sheet1[[#This Row],[Open Date]],"mmm")</f>
        <v>Mar</v>
      </c>
    </row>
    <row r="163" spans="1:12" x14ac:dyDescent="0.3">
      <c r="A163" t="s">
        <v>379</v>
      </c>
      <c r="B163" t="s">
        <v>22</v>
      </c>
      <c r="C163" t="s">
        <v>23</v>
      </c>
      <c r="D163" t="s">
        <v>15</v>
      </c>
      <c r="E163" t="s">
        <v>380</v>
      </c>
      <c r="F163" t="s">
        <v>40</v>
      </c>
      <c r="G163" t="s">
        <v>45</v>
      </c>
      <c r="H163" s="1">
        <v>45437</v>
      </c>
      <c r="I163" s="1">
        <v>45437</v>
      </c>
      <c r="J163">
        <f>Sheet1[[#This Row],[Close Date]]-Sheet1[[#This Row],[Open Date]]</f>
        <v>0</v>
      </c>
      <c r="K163" t="str">
        <f>IF(Sheet1[[#This Row],[Actual Days]]&gt;=1,"Not Met","Met")</f>
        <v>Met</v>
      </c>
      <c r="L163" t="str">
        <f>TEXT(Sheet1[[#This Row],[Open Date]],"mmm")</f>
        <v>May</v>
      </c>
    </row>
    <row r="164" spans="1:12" x14ac:dyDescent="0.3">
      <c r="A164" t="s">
        <v>381</v>
      </c>
      <c r="B164" t="s">
        <v>30</v>
      </c>
      <c r="C164" t="s">
        <v>51</v>
      </c>
      <c r="D164" t="s">
        <v>15</v>
      </c>
      <c r="E164" t="s">
        <v>382</v>
      </c>
      <c r="F164" t="s">
        <v>40</v>
      </c>
      <c r="G164" t="s">
        <v>18</v>
      </c>
      <c r="H164" s="1">
        <v>45296</v>
      </c>
      <c r="I164" s="1">
        <v>45296</v>
      </c>
      <c r="J164">
        <f>Sheet1[[#This Row],[Close Date]]-Sheet1[[#This Row],[Open Date]]</f>
        <v>0</v>
      </c>
      <c r="K164" t="str">
        <f>IF(Sheet1[[#This Row],[Actual Days]]&gt;=1,"Not Met","Met")</f>
        <v>Met</v>
      </c>
      <c r="L164" t="str">
        <f>TEXT(Sheet1[[#This Row],[Open Date]],"mmm")</f>
        <v>Jan</v>
      </c>
    </row>
    <row r="165" spans="1:12" x14ac:dyDescent="0.3">
      <c r="A165" t="s">
        <v>383</v>
      </c>
      <c r="B165" t="s">
        <v>42</v>
      </c>
      <c r="C165" t="s">
        <v>107</v>
      </c>
      <c r="D165" t="s">
        <v>38</v>
      </c>
      <c r="E165" t="s">
        <v>384</v>
      </c>
      <c r="F165" t="s">
        <v>40</v>
      </c>
      <c r="G165" t="s">
        <v>34</v>
      </c>
      <c r="H165" s="1">
        <v>45304</v>
      </c>
      <c r="I165" s="1">
        <v>45304</v>
      </c>
      <c r="J165">
        <f>Sheet1[[#This Row],[Close Date]]-Sheet1[[#This Row],[Open Date]]</f>
        <v>0</v>
      </c>
      <c r="K165" t="str">
        <f>IF(Sheet1[[#This Row],[Actual Days]]&gt;=1,"Not Met","Met")</f>
        <v>Met</v>
      </c>
      <c r="L165" t="str">
        <f>TEXT(Sheet1[[#This Row],[Open Date]],"mmm")</f>
        <v>Jan</v>
      </c>
    </row>
    <row r="166" spans="1:12" x14ac:dyDescent="0.3">
      <c r="A166" t="s">
        <v>385</v>
      </c>
      <c r="B166" t="s">
        <v>22</v>
      </c>
      <c r="C166" t="s">
        <v>101</v>
      </c>
      <c r="D166" t="s">
        <v>73</v>
      </c>
      <c r="E166" t="s">
        <v>386</v>
      </c>
      <c r="F166" t="s">
        <v>40</v>
      </c>
      <c r="G166" t="s">
        <v>59</v>
      </c>
      <c r="H166" s="1">
        <v>45403</v>
      </c>
      <c r="I166" s="1">
        <v>45403</v>
      </c>
      <c r="J166">
        <f>Sheet1[[#This Row],[Close Date]]-Sheet1[[#This Row],[Open Date]]</f>
        <v>0</v>
      </c>
      <c r="K166" t="str">
        <f>IF(Sheet1[[#This Row],[Actual Days]]&gt;=1,"Not Met","Met")</f>
        <v>Met</v>
      </c>
      <c r="L166" t="str">
        <f>TEXT(Sheet1[[#This Row],[Open Date]],"mmm")</f>
        <v>Apr</v>
      </c>
    </row>
    <row r="167" spans="1:12" x14ac:dyDescent="0.3">
      <c r="A167" t="s">
        <v>387</v>
      </c>
      <c r="B167" t="s">
        <v>36</v>
      </c>
      <c r="C167" t="s">
        <v>37</v>
      </c>
      <c r="D167" t="s">
        <v>38</v>
      </c>
      <c r="E167" t="s">
        <v>388</v>
      </c>
      <c r="F167" t="s">
        <v>26</v>
      </c>
      <c r="G167" t="s">
        <v>34</v>
      </c>
      <c r="H167" s="1">
        <v>45399</v>
      </c>
      <c r="I167" s="1">
        <v>45399</v>
      </c>
      <c r="J167">
        <f>Sheet1[[#This Row],[Close Date]]-Sheet1[[#This Row],[Open Date]]</f>
        <v>0</v>
      </c>
      <c r="K167" t="str">
        <f>IF(Sheet1[[#This Row],[Actual Days]]&gt;=1,"Not Met","Met")</f>
        <v>Met</v>
      </c>
      <c r="L167" t="str">
        <f>TEXT(Sheet1[[#This Row],[Open Date]],"mmm")</f>
        <v>Apr</v>
      </c>
    </row>
    <row r="168" spans="1:12" x14ac:dyDescent="0.3">
      <c r="A168" t="s">
        <v>389</v>
      </c>
      <c r="B168" t="s">
        <v>30</v>
      </c>
      <c r="C168" t="s">
        <v>51</v>
      </c>
      <c r="D168" t="s">
        <v>38</v>
      </c>
      <c r="E168" t="s">
        <v>390</v>
      </c>
      <c r="F168" t="s">
        <v>17</v>
      </c>
      <c r="G168" t="s">
        <v>59</v>
      </c>
      <c r="H168" s="1">
        <v>45381</v>
      </c>
      <c r="I168" s="1">
        <v>45381</v>
      </c>
      <c r="J168">
        <f>Sheet1[[#This Row],[Close Date]]-Sheet1[[#This Row],[Open Date]]</f>
        <v>0</v>
      </c>
      <c r="K168" t="str">
        <f>IF(Sheet1[[#This Row],[Actual Days]]&gt;=1,"Not Met","Met")</f>
        <v>Met</v>
      </c>
      <c r="L168" t="str">
        <f>TEXT(Sheet1[[#This Row],[Open Date]],"mmm")</f>
        <v>Mar</v>
      </c>
    </row>
    <row r="169" spans="1:12" x14ac:dyDescent="0.3">
      <c r="A169" t="s">
        <v>391</v>
      </c>
      <c r="B169" t="s">
        <v>22</v>
      </c>
      <c r="C169" t="s">
        <v>23</v>
      </c>
      <c r="D169" t="s">
        <v>32</v>
      </c>
      <c r="E169" t="s">
        <v>392</v>
      </c>
      <c r="F169" t="s">
        <v>17</v>
      </c>
      <c r="G169" t="s">
        <v>27</v>
      </c>
      <c r="H169" s="1">
        <v>45343</v>
      </c>
      <c r="I169" s="1">
        <v>45343</v>
      </c>
      <c r="J169">
        <f>Sheet1[[#This Row],[Close Date]]-Sheet1[[#This Row],[Open Date]]</f>
        <v>0</v>
      </c>
      <c r="K169" t="str">
        <f>IF(Sheet1[[#This Row],[Actual Days]]&gt;=1,"Not Met","Met")</f>
        <v>Met</v>
      </c>
      <c r="L169" t="str">
        <f>TEXT(Sheet1[[#This Row],[Open Date]],"mmm")</f>
        <v>Feb</v>
      </c>
    </row>
    <row r="170" spans="1:12" x14ac:dyDescent="0.3">
      <c r="A170" t="s">
        <v>393</v>
      </c>
      <c r="B170" t="s">
        <v>22</v>
      </c>
      <c r="C170" t="s">
        <v>23</v>
      </c>
      <c r="D170" t="s">
        <v>15</v>
      </c>
      <c r="E170" t="s">
        <v>394</v>
      </c>
      <c r="F170" t="s">
        <v>26</v>
      </c>
      <c r="G170" t="s">
        <v>27</v>
      </c>
      <c r="H170" s="1">
        <v>45346</v>
      </c>
      <c r="I170" s="1">
        <v>45346</v>
      </c>
      <c r="J170">
        <f>Sheet1[[#This Row],[Close Date]]-Sheet1[[#This Row],[Open Date]]</f>
        <v>0</v>
      </c>
      <c r="K170" t="str">
        <f>IF(Sheet1[[#This Row],[Actual Days]]&gt;=1,"Not Met","Met")</f>
        <v>Met</v>
      </c>
      <c r="L170" t="str">
        <f>TEXT(Sheet1[[#This Row],[Open Date]],"mmm")</f>
        <v>Feb</v>
      </c>
    </row>
    <row r="171" spans="1:12" x14ac:dyDescent="0.3">
      <c r="A171" t="s">
        <v>395</v>
      </c>
      <c r="B171" t="s">
        <v>36</v>
      </c>
      <c r="C171" t="s">
        <v>37</v>
      </c>
      <c r="D171" t="s">
        <v>32</v>
      </c>
      <c r="E171" t="s">
        <v>396</v>
      </c>
      <c r="F171" t="s">
        <v>17</v>
      </c>
      <c r="G171" t="s">
        <v>34</v>
      </c>
      <c r="H171" s="1">
        <v>45307</v>
      </c>
      <c r="I171" s="1">
        <v>45308</v>
      </c>
      <c r="J171">
        <f>Sheet1[[#This Row],[Close Date]]-Sheet1[[#This Row],[Open Date]]</f>
        <v>1</v>
      </c>
      <c r="K171" t="str">
        <f>IF(Sheet1[[#This Row],[Actual Days]]&gt;=1,"Not Met","Met")</f>
        <v>Not Met</v>
      </c>
      <c r="L171" t="str">
        <f>TEXT(Sheet1[[#This Row],[Open Date]],"mmm")</f>
        <v>Jan</v>
      </c>
    </row>
    <row r="172" spans="1:12" x14ac:dyDescent="0.3">
      <c r="A172" t="s">
        <v>397</v>
      </c>
      <c r="B172" t="s">
        <v>13</v>
      </c>
      <c r="C172" t="s">
        <v>65</v>
      </c>
      <c r="D172" t="s">
        <v>38</v>
      </c>
      <c r="E172" t="s">
        <v>398</v>
      </c>
      <c r="F172" t="s">
        <v>40</v>
      </c>
      <c r="G172" t="s">
        <v>27</v>
      </c>
      <c r="H172" s="1">
        <v>45305</v>
      </c>
      <c r="I172" s="1">
        <v>45305</v>
      </c>
      <c r="J172">
        <f>Sheet1[[#This Row],[Close Date]]-Sheet1[[#This Row],[Open Date]]</f>
        <v>0</v>
      </c>
      <c r="K172" t="str">
        <f>IF(Sheet1[[#This Row],[Actual Days]]&gt;=1,"Not Met","Met")</f>
        <v>Met</v>
      </c>
      <c r="L172" t="str">
        <f>TEXT(Sheet1[[#This Row],[Open Date]],"mmm")</f>
        <v>Jan</v>
      </c>
    </row>
    <row r="173" spans="1:12" x14ac:dyDescent="0.3">
      <c r="A173" t="s">
        <v>399</v>
      </c>
      <c r="B173" t="s">
        <v>42</v>
      </c>
      <c r="C173" t="s">
        <v>104</v>
      </c>
      <c r="D173" t="s">
        <v>156</v>
      </c>
      <c r="E173" t="s">
        <v>400</v>
      </c>
      <c r="F173" t="s">
        <v>26</v>
      </c>
      <c r="G173" t="s">
        <v>34</v>
      </c>
      <c r="H173" s="1">
        <v>45440</v>
      </c>
      <c r="I173" s="1">
        <v>45440</v>
      </c>
      <c r="J173">
        <f>Sheet1[[#This Row],[Close Date]]-Sheet1[[#This Row],[Open Date]]</f>
        <v>0</v>
      </c>
      <c r="K173" t="str">
        <f>IF(Sheet1[[#This Row],[Actual Days]]&gt;=1,"Not Met","Met")</f>
        <v>Met</v>
      </c>
      <c r="L173" t="str">
        <f>TEXT(Sheet1[[#This Row],[Open Date]],"mmm")</f>
        <v>May</v>
      </c>
    </row>
    <row r="174" spans="1:12" x14ac:dyDescent="0.3">
      <c r="A174" t="s">
        <v>401</v>
      </c>
      <c r="B174" t="s">
        <v>42</v>
      </c>
      <c r="C174" t="s">
        <v>43</v>
      </c>
      <c r="D174" t="s">
        <v>73</v>
      </c>
      <c r="E174" t="s">
        <v>402</v>
      </c>
      <c r="F174" t="s">
        <v>26</v>
      </c>
      <c r="G174" t="s">
        <v>27</v>
      </c>
      <c r="H174" s="1">
        <v>45420</v>
      </c>
      <c r="I174" s="1">
        <v>45420</v>
      </c>
      <c r="J174">
        <f>Sheet1[[#This Row],[Close Date]]-Sheet1[[#This Row],[Open Date]]</f>
        <v>0</v>
      </c>
      <c r="K174" t="str">
        <f>IF(Sheet1[[#This Row],[Actual Days]]&gt;=1,"Not Met","Met")</f>
        <v>Met</v>
      </c>
      <c r="L174" t="str">
        <f>TEXT(Sheet1[[#This Row],[Open Date]],"mmm")</f>
        <v>May</v>
      </c>
    </row>
    <row r="175" spans="1:12" x14ac:dyDescent="0.3">
      <c r="A175" t="s">
        <v>403</v>
      </c>
      <c r="B175" t="s">
        <v>13</v>
      </c>
      <c r="C175" t="s">
        <v>14</v>
      </c>
      <c r="D175" t="s">
        <v>24</v>
      </c>
      <c r="E175" t="s">
        <v>404</v>
      </c>
      <c r="F175" t="s">
        <v>17</v>
      </c>
      <c r="G175" t="s">
        <v>34</v>
      </c>
      <c r="H175" s="1">
        <v>45442</v>
      </c>
      <c r="I175" s="1">
        <v>45442</v>
      </c>
      <c r="J175">
        <f>Sheet1[[#This Row],[Close Date]]-Sheet1[[#This Row],[Open Date]]</f>
        <v>0</v>
      </c>
      <c r="K175" t="str">
        <f>IF(Sheet1[[#This Row],[Actual Days]]&gt;=1,"Not Met","Met")</f>
        <v>Met</v>
      </c>
      <c r="L175" t="str">
        <f>TEXT(Sheet1[[#This Row],[Open Date]],"mmm")</f>
        <v>May</v>
      </c>
    </row>
    <row r="176" spans="1:12" x14ac:dyDescent="0.3">
      <c r="A176" t="s">
        <v>405</v>
      </c>
      <c r="B176" t="s">
        <v>22</v>
      </c>
      <c r="C176" t="s">
        <v>84</v>
      </c>
      <c r="D176" t="s">
        <v>73</v>
      </c>
      <c r="E176" t="s">
        <v>406</v>
      </c>
      <c r="F176" t="s">
        <v>40</v>
      </c>
      <c r="G176" t="s">
        <v>49</v>
      </c>
      <c r="H176" s="1">
        <v>45382</v>
      </c>
      <c r="I176" s="1">
        <v>45382</v>
      </c>
      <c r="J176">
        <f>Sheet1[[#This Row],[Close Date]]-Sheet1[[#This Row],[Open Date]]</f>
        <v>0</v>
      </c>
      <c r="K176" t="str">
        <f>IF(Sheet1[[#This Row],[Actual Days]]&gt;=1,"Not Met","Met")</f>
        <v>Met</v>
      </c>
      <c r="L176" t="str">
        <f>TEXT(Sheet1[[#This Row],[Open Date]],"mmm")</f>
        <v>Mar</v>
      </c>
    </row>
    <row r="177" spans="1:12" x14ac:dyDescent="0.3">
      <c r="A177" t="s">
        <v>407</v>
      </c>
      <c r="B177" t="s">
        <v>13</v>
      </c>
      <c r="C177" t="s">
        <v>68</v>
      </c>
      <c r="D177" t="s">
        <v>38</v>
      </c>
      <c r="E177" t="s">
        <v>408</v>
      </c>
      <c r="F177" t="s">
        <v>26</v>
      </c>
      <c r="G177" t="s">
        <v>49</v>
      </c>
      <c r="H177" s="1">
        <v>45434</v>
      </c>
      <c r="I177" s="1">
        <v>45434</v>
      </c>
      <c r="J177">
        <f>Sheet1[[#This Row],[Close Date]]-Sheet1[[#This Row],[Open Date]]</f>
        <v>0</v>
      </c>
      <c r="K177" t="str">
        <f>IF(Sheet1[[#This Row],[Actual Days]]&gt;=1,"Not Met","Met")</f>
        <v>Met</v>
      </c>
      <c r="L177" t="str">
        <f>TEXT(Sheet1[[#This Row],[Open Date]],"mmm")</f>
        <v>May</v>
      </c>
    </row>
    <row r="178" spans="1:12" x14ac:dyDescent="0.3">
      <c r="A178" t="s">
        <v>409</v>
      </c>
      <c r="B178" t="s">
        <v>42</v>
      </c>
      <c r="C178" t="s">
        <v>107</v>
      </c>
      <c r="D178" t="s">
        <v>156</v>
      </c>
      <c r="E178" t="s">
        <v>410</v>
      </c>
      <c r="F178" t="s">
        <v>40</v>
      </c>
      <c r="G178" t="s">
        <v>18</v>
      </c>
      <c r="H178" s="1">
        <v>45328</v>
      </c>
      <c r="I178" s="1">
        <v>45328</v>
      </c>
      <c r="J178">
        <f>Sheet1[[#This Row],[Close Date]]-Sheet1[[#This Row],[Open Date]]</f>
        <v>0</v>
      </c>
      <c r="K178" t="str">
        <f>IF(Sheet1[[#This Row],[Actual Days]]&gt;=1,"Not Met","Met")</f>
        <v>Met</v>
      </c>
      <c r="L178" t="str">
        <f>TEXT(Sheet1[[#This Row],[Open Date]],"mmm")</f>
        <v>Feb</v>
      </c>
    </row>
    <row r="179" spans="1:12" x14ac:dyDescent="0.3">
      <c r="A179" t="s">
        <v>411</v>
      </c>
      <c r="B179" t="s">
        <v>22</v>
      </c>
      <c r="C179" t="s">
        <v>101</v>
      </c>
      <c r="D179" t="s">
        <v>38</v>
      </c>
      <c r="E179" t="s">
        <v>412</v>
      </c>
      <c r="F179" t="s">
        <v>26</v>
      </c>
      <c r="G179" t="s">
        <v>49</v>
      </c>
      <c r="H179" s="1">
        <v>45325</v>
      </c>
      <c r="I179" s="1">
        <v>45326</v>
      </c>
      <c r="J179">
        <f>Sheet1[[#This Row],[Close Date]]-Sheet1[[#This Row],[Open Date]]</f>
        <v>1</v>
      </c>
      <c r="K179" t="str">
        <f>IF(Sheet1[[#This Row],[Actual Days]]&gt;=1,"Not Met","Met")</f>
        <v>Not Met</v>
      </c>
      <c r="L179" t="str">
        <f>TEXT(Sheet1[[#This Row],[Open Date]],"mmm")</f>
        <v>Feb</v>
      </c>
    </row>
    <row r="180" spans="1:12" x14ac:dyDescent="0.3">
      <c r="A180" t="s">
        <v>413</v>
      </c>
      <c r="B180" t="s">
        <v>30</v>
      </c>
      <c r="C180" t="s">
        <v>31</v>
      </c>
      <c r="D180" t="s">
        <v>38</v>
      </c>
      <c r="E180" t="s">
        <v>414</v>
      </c>
      <c r="F180" t="s">
        <v>40</v>
      </c>
      <c r="G180" t="s">
        <v>18</v>
      </c>
      <c r="H180" s="1">
        <v>45402</v>
      </c>
      <c r="I180" s="1">
        <v>45402</v>
      </c>
      <c r="J180">
        <f>Sheet1[[#This Row],[Close Date]]-Sheet1[[#This Row],[Open Date]]</f>
        <v>0</v>
      </c>
      <c r="K180" t="str">
        <f>IF(Sheet1[[#This Row],[Actual Days]]&gt;=1,"Not Met","Met")</f>
        <v>Met</v>
      </c>
      <c r="L180" t="str">
        <f>TEXT(Sheet1[[#This Row],[Open Date]],"mmm")</f>
        <v>Apr</v>
      </c>
    </row>
    <row r="181" spans="1:12" x14ac:dyDescent="0.3">
      <c r="A181" t="s">
        <v>415</v>
      </c>
      <c r="B181" t="s">
        <v>30</v>
      </c>
      <c r="C181" t="s">
        <v>31</v>
      </c>
      <c r="D181" t="s">
        <v>24</v>
      </c>
      <c r="E181" t="s">
        <v>416</v>
      </c>
      <c r="F181" t="s">
        <v>40</v>
      </c>
      <c r="G181" t="s">
        <v>27</v>
      </c>
      <c r="H181" s="1">
        <v>45431</v>
      </c>
      <c r="I181" s="1">
        <v>45431</v>
      </c>
      <c r="J181">
        <f>Sheet1[[#This Row],[Close Date]]-Sheet1[[#This Row],[Open Date]]</f>
        <v>0</v>
      </c>
      <c r="K181" t="str">
        <f>IF(Sheet1[[#This Row],[Actual Days]]&gt;=1,"Not Met","Met")</f>
        <v>Met</v>
      </c>
      <c r="L181" t="str">
        <f>TEXT(Sheet1[[#This Row],[Open Date]],"mmm")</f>
        <v>May</v>
      </c>
    </row>
    <row r="182" spans="1:12" x14ac:dyDescent="0.3">
      <c r="A182" t="s">
        <v>417</v>
      </c>
      <c r="B182" t="s">
        <v>30</v>
      </c>
      <c r="C182" t="s">
        <v>51</v>
      </c>
      <c r="D182" t="s">
        <v>87</v>
      </c>
      <c r="E182" t="s">
        <v>418</v>
      </c>
      <c r="F182" t="s">
        <v>26</v>
      </c>
      <c r="G182" t="s">
        <v>49</v>
      </c>
      <c r="H182" s="1">
        <v>45336</v>
      </c>
      <c r="I182" s="1">
        <v>45336</v>
      </c>
      <c r="J182">
        <f>Sheet1[[#This Row],[Close Date]]-Sheet1[[#This Row],[Open Date]]</f>
        <v>0</v>
      </c>
      <c r="K182" t="str">
        <f>IF(Sheet1[[#This Row],[Actual Days]]&gt;=1,"Not Met","Met")</f>
        <v>Met</v>
      </c>
      <c r="L182" t="str">
        <f>TEXT(Sheet1[[#This Row],[Open Date]],"mmm")</f>
        <v>Feb</v>
      </c>
    </row>
    <row r="183" spans="1:12" x14ac:dyDescent="0.3">
      <c r="A183" t="s">
        <v>419</v>
      </c>
      <c r="B183" t="s">
        <v>42</v>
      </c>
      <c r="C183" t="s">
        <v>43</v>
      </c>
      <c r="D183" t="s">
        <v>38</v>
      </c>
      <c r="E183" t="s">
        <v>420</v>
      </c>
      <c r="F183" t="s">
        <v>40</v>
      </c>
      <c r="G183" t="s">
        <v>18</v>
      </c>
      <c r="H183" s="1">
        <v>45292</v>
      </c>
      <c r="I183" s="1">
        <v>45292</v>
      </c>
      <c r="J183">
        <f>Sheet1[[#This Row],[Close Date]]-Sheet1[[#This Row],[Open Date]]</f>
        <v>0</v>
      </c>
      <c r="K183" t="str">
        <f>IF(Sheet1[[#This Row],[Actual Days]]&gt;=1,"Not Met","Met")</f>
        <v>Met</v>
      </c>
      <c r="L183" t="str">
        <f>TEXT(Sheet1[[#This Row],[Open Date]],"mmm")</f>
        <v>Jan</v>
      </c>
    </row>
    <row r="184" spans="1:12" x14ac:dyDescent="0.3">
      <c r="A184" t="s">
        <v>421</v>
      </c>
      <c r="B184" t="s">
        <v>30</v>
      </c>
      <c r="C184" t="s">
        <v>161</v>
      </c>
      <c r="D184" t="s">
        <v>94</v>
      </c>
      <c r="E184" t="s">
        <v>422</v>
      </c>
      <c r="F184" t="s">
        <v>17</v>
      </c>
      <c r="G184" t="s">
        <v>34</v>
      </c>
      <c r="H184" s="1">
        <v>45445</v>
      </c>
      <c r="I184" s="1">
        <v>45446</v>
      </c>
      <c r="J184">
        <f>Sheet1[[#This Row],[Close Date]]-Sheet1[[#This Row],[Open Date]]</f>
        <v>1</v>
      </c>
      <c r="K184" t="str">
        <f>IF(Sheet1[[#This Row],[Actual Days]]&gt;=1,"Not Met","Met")</f>
        <v>Not Met</v>
      </c>
      <c r="L184" t="str">
        <f>TEXT(Sheet1[[#This Row],[Open Date]],"mmm")</f>
        <v>Jun</v>
      </c>
    </row>
    <row r="185" spans="1:12" x14ac:dyDescent="0.3">
      <c r="A185" t="s">
        <v>423</v>
      </c>
      <c r="B185" t="s">
        <v>36</v>
      </c>
      <c r="C185" t="s">
        <v>62</v>
      </c>
      <c r="D185" t="s">
        <v>73</v>
      </c>
      <c r="E185" t="s">
        <v>424</v>
      </c>
      <c r="F185" t="s">
        <v>40</v>
      </c>
      <c r="G185" t="s">
        <v>34</v>
      </c>
      <c r="H185" s="1">
        <v>45340</v>
      </c>
      <c r="I185" s="1">
        <v>45340</v>
      </c>
      <c r="J185">
        <f>Sheet1[[#This Row],[Close Date]]-Sheet1[[#This Row],[Open Date]]</f>
        <v>0</v>
      </c>
      <c r="K185" t="str">
        <f>IF(Sheet1[[#This Row],[Actual Days]]&gt;=1,"Not Met","Met")</f>
        <v>Met</v>
      </c>
      <c r="L185" t="str">
        <f>TEXT(Sheet1[[#This Row],[Open Date]],"mmm")</f>
        <v>Feb</v>
      </c>
    </row>
    <row r="186" spans="1:12" x14ac:dyDescent="0.3">
      <c r="A186" t="s">
        <v>425</v>
      </c>
      <c r="B186" t="s">
        <v>36</v>
      </c>
      <c r="C186" t="s">
        <v>37</v>
      </c>
      <c r="D186" t="s">
        <v>38</v>
      </c>
      <c r="E186" t="s">
        <v>426</v>
      </c>
      <c r="F186" t="s">
        <v>40</v>
      </c>
      <c r="G186" t="s">
        <v>45</v>
      </c>
      <c r="H186" s="1">
        <v>45343</v>
      </c>
      <c r="I186" s="1">
        <v>45343</v>
      </c>
      <c r="J186">
        <f>Sheet1[[#This Row],[Close Date]]-Sheet1[[#This Row],[Open Date]]</f>
        <v>0</v>
      </c>
      <c r="K186" t="str">
        <f>IF(Sheet1[[#This Row],[Actual Days]]&gt;=1,"Not Met","Met")</f>
        <v>Met</v>
      </c>
      <c r="L186" t="str">
        <f>TEXT(Sheet1[[#This Row],[Open Date]],"mmm")</f>
        <v>Feb</v>
      </c>
    </row>
    <row r="187" spans="1:12" x14ac:dyDescent="0.3">
      <c r="A187" t="s">
        <v>427</v>
      </c>
      <c r="B187" t="s">
        <v>13</v>
      </c>
      <c r="C187" t="s">
        <v>65</v>
      </c>
      <c r="D187" t="s">
        <v>15</v>
      </c>
      <c r="E187" t="s">
        <v>428</v>
      </c>
      <c r="F187" t="s">
        <v>17</v>
      </c>
      <c r="G187" t="s">
        <v>34</v>
      </c>
      <c r="H187" s="1">
        <v>45380</v>
      </c>
      <c r="I187" s="1">
        <v>45380</v>
      </c>
      <c r="J187">
        <f>Sheet1[[#This Row],[Close Date]]-Sheet1[[#This Row],[Open Date]]</f>
        <v>0</v>
      </c>
      <c r="K187" t="str">
        <f>IF(Sheet1[[#This Row],[Actual Days]]&gt;=1,"Not Met","Met")</f>
        <v>Met</v>
      </c>
      <c r="L187" t="str">
        <f>TEXT(Sheet1[[#This Row],[Open Date]],"mmm")</f>
        <v>Mar</v>
      </c>
    </row>
    <row r="188" spans="1:12" x14ac:dyDescent="0.3">
      <c r="A188" t="s">
        <v>429</v>
      </c>
      <c r="B188" t="s">
        <v>22</v>
      </c>
      <c r="C188" t="s">
        <v>23</v>
      </c>
      <c r="D188" t="s">
        <v>24</v>
      </c>
      <c r="E188" t="s">
        <v>430</v>
      </c>
      <c r="F188" t="s">
        <v>26</v>
      </c>
      <c r="G188" t="s">
        <v>18</v>
      </c>
      <c r="H188" s="1">
        <v>45382</v>
      </c>
      <c r="I188" s="1">
        <v>45382</v>
      </c>
      <c r="J188">
        <f>Sheet1[[#This Row],[Close Date]]-Sheet1[[#This Row],[Open Date]]</f>
        <v>0</v>
      </c>
      <c r="K188" t="str">
        <f>IF(Sheet1[[#This Row],[Actual Days]]&gt;=1,"Not Met","Met")</f>
        <v>Met</v>
      </c>
      <c r="L188" t="str">
        <f>TEXT(Sheet1[[#This Row],[Open Date]],"mmm")</f>
        <v>Mar</v>
      </c>
    </row>
    <row r="189" spans="1:12" x14ac:dyDescent="0.3">
      <c r="A189" t="s">
        <v>431</v>
      </c>
      <c r="B189" t="s">
        <v>36</v>
      </c>
      <c r="C189" t="s">
        <v>62</v>
      </c>
      <c r="D189" t="s">
        <v>24</v>
      </c>
      <c r="E189" t="s">
        <v>432</v>
      </c>
      <c r="F189" t="s">
        <v>40</v>
      </c>
      <c r="G189" t="s">
        <v>59</v>
      </c>
      <c r="H189" s="1">
        <v>45450</v>
      </c>
      <c r="I189" s="1">
        <v>45450</v>
      </c>
      <c r="J189">
        <f>Sheet1[[#This Row],[Close Date]]-Sheet1[[#This Row],[Open Date]]</f>
        <v>0</v>
      </c>
      <c r="K189" t="str">
        <f>IF(Sheet1[[#This Row],[Actual Days]]&gt;=1,"Not Met","Met")</f>
        <v>Met</v>
      </c>
      <c r="L189" t="str">
        <f>TEXT(Sheet1[[#This Row],[Open Date]],"mmm")</f>
        <v>Jun</v>
      </c>
    </row>
    <row r="190" spans="1:12" x14ac:dyDescent="0.3">
      <c r="A190" t="s">
        <v>433</v>
      </c>
      <c r="B190" t="s">
        <v>13</v>
      </c>
      <c r="C190" t="s">
        <v>14</v>
      </c>
      <c r="D190" t="s">
        <v>38</v>
      </c>
      <c r="E190" t="s">
        <v>434</v>
      </c>
      <c r="F190" t="s">
        <v>26</v>
      </c>
      <c r="G190" t="s">
        <v>27</v>
      </c>
      <c r="H190" s="1">
        <v>45328</v>
      </c>
      <c r="I190" s="1">
        <v>45328</v>
      </c>
      <c r="J190">
        <f>Sheet1[[#This Row],[Close Date]]-Sheet1[[#This Row],[Open Date]]</f>
        <v>0</v>
      </c>
      <c r="K190" t="str">
        <f>IF(Sheet1[[#This Row],[Actual Days]]&gt;=1,"Not Met","Met")</f>
        <v>Met</v>
      </c>
      <c r="L190" t="str">
        <f>TEXT(Sheet1[[#This Row],[Open Date]],"mmm")</f>
        <v>Feb</v>
      </c>
    </row>
    <row r="191" spans="1:12" x14ac:dyDescent="0.3">
      <c r="A191" t="s">
        <v>435</v>
      </c>
      <c r="B191" t="s">
        <v>30</v>
      </c>
      <c r="C191" t="s">
        <v>51</v>
      </c>
      <c r="D191" t="s">
        <v>73</v>
      </c>
      <c r="E191" t="s">
        <v>436</v>
      </c>
      <c r="F191" t="s">
        <v>40</v>
      </c>
      <c r="G191" t="s">
        <v>34</v>
      </c>
      <c r="H191" s="1">
        <v>45450</v>
      </c>
      <c r="I191" s="1">
        <v>45450</v>
      </c>
      <c r="J191">
        <f>Sheet1[[#This Row],[Close Date]]-Sheet1[[#This Row],[Open Date]]</f>
        <v>0</v>
      </c>
      <c r="K191" t="str">
        <f>IF(Sheet1[[#This Row],[Actual Days]]&gt;=1,"Not Met","Met")</f>
        <v>Met</v>
      </c>
      <c r="L191" t="str">
        <f>TEXT(Sheet1[[#This Row],[Open Date]],"mmm")</f>
        <v>Jun</v>
      </c>
    </row>
    <row r="192" spans="1:12" x14ac:dyDescent="0.3">
      <c r="A192" t="s">
        <v>437</v>
      </c>
      <c r="B192" t="s">
        <v>30</v>
      </c>
      <c r="C192" t="s">
        <v>31</v>
      </c>
      <c r="D192" t="s">
        <v>38</v>
      </c>
      <c r="E192" t="s">
        <v>438</v>
      </c>
      <c r="F192" t="s">
        <v>26</v>
      </c>
      <c r="G192" t="s">
        <v>49</v>
      </c>
      <c r="H192" s="1">
        <v>45292</v>
      </c>
      <c r="I192" s="1">
        <v>45292</v>
      </c>
      <c r="J192">
        <f>Sheet1[[#This Row],[Close Date]]-Sheet1[[#This Row],[Open Date]]</f>
        <v>0</v>
      </c>
      <c r="K192" t="str">
        <f>IF(Sheet1[[#This Row],[Actual Days]]&gt;=1,"Not Met","Met")</f>
        <v>Met</v>
      </c>
      <c r="L192" t="str">
        <f>TEXT(Sheet1[[#This Row],[Open Date]],"mmm")</f>
        <v>Jan</v>
      </c>
    </row>
    <row r="193" spans="1:12" x14ac:dyDescent="0.3">
      <c r="A193" t="s">
        <v>439</v>
      </c>
      <c r="B193" t="s">
        <v>36</v>
      </c>
      <c r="C193" t="s">
        <v>76</v>
      </c>
      <c r="D193" t="s">
        <v>15</v>
      </c>
      <c r="E193" t="s">
        <v>440</v>
      </c>
      <c r="F193" t="s">
        <v>26</v>
      </c>
      <c r="G193" t="s">
        <v>49</v>
      </c>
      <c r="H193" s="1">
        <v>45354</v>
      </c>
      <c r="I193" s="1">
        <v>45354</v>
      </c>
      <c r="J193">
        <f>Sheet1[[#This Row],[Close Date]]-Sheet1[[#This Row],[Open Date]]</f>
        <v>0</v>
      </c>
      <c r="K193" t="str">
        <f>IF(Sheet1[[#This Row],[Actual Days]]&gt;=1,"Not Met","Met")</f>
        <v>Met</v>
      </c>
      <c r="L193" t="str">
        <f>TEXT(Sheet1[[#This Row],[Open Date]],"mmm")</f>
        <v>Mar</v>
      </c>
    </row>
    <row r="194" spans="1:12" x14ac:dyDescent="0.3">
      <c r="A194" t="s">
        <v>441</v>
      </c>
      <c r="B194" t="s">
        <v>30</v>
      </c>
      <c r="C194" t="s">
        <v>31</v>
      </c>
      <c r="D194" t="s">
        <v>38</v>
      </c>
      <c r="E194" t="s">
        <v>442</v>
      </c>
      <c r="F194" t="s">
        <v>17</v>
      </c>
      <c r="G194" t="s">
        <v>45</v>
      </c>
      <c r="H194" s="1">
        <v>45310</v>
      </c>
      <c r="I194" s="1">
        <v>45310</v>
      </c>
      <c r="J194">
        <f>Sheet1[[#This Row],[Close Date]]-Sheet1[[#This Row],[Open Date]]</f>
        <v>0</v>
      </c>
      <c r="K194" t="str">
        <f>IF(Sheet1[[#This Row],[Actual Days]]&gt;=1,"Not Met","Met")</f>
        <v>Met</v>
      </c>
      <c r="L194" t="str">
        <f>TEXT(Sheet1[[#This Row],[Open Date]],"mmm")</f>
        <v>Jan</v>
      </c>
    </row>
    <row r="195" spans="1:12" x14ac:dyDescent="0.3">
      <c r="A195" t="s">
        <v>443</v>
      </c>
      <c r="B195" t="s">
        <v>22</v>
      </c>
      <c r="C195" t="s">
        <v>84</v>
      </c>
      <c r="D195" t="s">
        <v>94</v>
      </c>
      <c r="E195" t="s">
        <v>444</v>
      </c>
      <c r="F195" t="s">
        <v>26</v>
      </c>
      <c r="G195" t="s">
        <v>27</v>
      </c>
      <c r="H195" s="1">
        <v>45407</v>
      </c>
      <c r="I195" s="1">
        <v>45407</v>
      </c>
      <c r="J195">
        <f>Sheet1[[#This Row],[Close Date]]-Sheet1[[#This Row],[Open Date]]</f>
        <v>0</v>
      </c>
      <c r="K195" t="str">
        <f>IF(Sheet1[[#This Row],[Actual Days]]&gt;=1,"Not Met","Met")</f>
        <v>Met</v>
      </c>
      <c r="L195" t="str">
        <f>TEXT(Sheet1[[#This Row],[Open Date]],"mmm")</f>
        <v>Apr</v>
      </c>
    </row>
    <row r="196" spans="1:12" x14ac:dyDescent="0.3">
      <c r="A196" t="s">
        <v>445</v>
      </c>
      <c r="B196" t="s">
        <v>22</v>
      </c>
      <c r="C196" t="s">
        <v>23</v>
      </c>
      <c r="D196" t="s">
        <v>73</v>
      </c>
      <c r="E196" t="s">
        <v>446</v>
      </c>
      <c r="F196" t="s">
        <v>26</v>
      </c>
      <c r="G196" t="s">
        <v>45</v>
      </c>
      <c r="H196" s="1">
        <v>45445</v>
      </c>
      <c r="I196" s="1">
        <v>45445</v>
      </c>
      <c r="J196">
        <f>Sheet1[[#This Row],[Close Date]]-Sheet1[[#This Row],[Open Date]]</f>
        <v>0</v>
      </c>
      <c r="K196" t="str">
        <f>IF(Sheet1[[#This Row],[Actual Days]]&gt;=1,"Not Met","Met")</f>
        <v>Met</v>
      </c>
      <c r="L196" t="str">
        <f>TEXT(Sheet1[[#This Row],[Open Date]],"mmm")</f>
        <v>Jun</v>
      </c>
    </row>
    <row r="197" spans="1:12" x14ac:dyDescent="0.3">
      <c r="A197" t="s">
        <v>447</v>
      </c>
      <c r="B197" t="s">
        <v>22</v>
      </c>
      <c r="C197" t="s">
        <v>84</v>
      </c>
      <c r="D197" t="s">
        <v>24</v>
      </c>
      <c r="E197" t="s">
        <v>448</v>
      </c>
      <c r="F197" t="s">
        <v>26</v>
      </c>
      <c r="G197" t="s">
        <v>18</v>
      </c>
      <c r="H197" s="1">
        <v>45415</v>
      </c>
      <c r="I197" s="1">
        <v>45415</v>
      </c>
      <c r="J197">
        <f>Sheet1[[#This Row],[Close Date]]-Sheet1[[#This Row],[Open Date]]</f>
        <v>0</v>
      </c>
      <c r="K197" t="str">
        <f>IF(Sheet1[[#This Row],[Actual Days]]&gt;=1,"Not Met","Met")</f>
        <v>Met</v>
      </c>
      <c r="L197" t="str">
        <f>TEXT(Sheet1[[#This Row],[Open Date]],"mmm")</f>
        <v>May</v>
      </c>
    </row>
    <row r="198" spans="1:12" x14ac:dyDescent="0.3">
      <c r="A198" t="s">
        <v>449</v>
      </c>
      <c r="B198" t="s">
        <v>42</v>
      </c>
      <c r="C198" t="s">
        <v>43</v>
      </c>
      <c r="D198" t="s">
        <v>38</v>
      </c>
      <c r="E198" t="s">
        <v>450</v>
      </c>
      <c r="F198" t="s">
        <v>26</v>
      </c>
      <c r="G198" t="s">
        <v>18</v>
      </c>
      <c r="H198" s="1">
        <v>45428</v>
      </c>
      <c r="I198" s="1">
        <v>45428</v>
      </c>
      <c r="J198">
        <f>Sheet1[[#This Row],[Close Date]]-Sheet1[[#This Row],[Open Date]]</f>
        <v>0</v>
      </c>
      <c r="K198" t="str">
        <f>IF(Sheet1[[#This Row],[Actual Days]]&gt;=1,"Not Met","Met")</f>
        <v>Met</v>
      </c>
      <c r="L198" t="str">
        <f>TEXT(Sheet1[[#This Row],[Open Date]],"mmm")</f>
        <v>May</v>
      </c>
    </row>
    <row r="199" spans="1:12" x14ac:dyDescent="0.3">
      <c r="A199" t="s">
        <v>451</v>
      </c>
      <c r="B199" t="s">
        <v>13</v>
      </c>
      <c r="C199" t="s">
        <v>14</v>
      </c>
      <c r="D199" t="s">
        <v>15</v>
      </c>
      <c r="E199" t="s">
        <v>16</v>
      </c>
      <c r="F199" t="s">
        <v>17</v>
      </c>
      <c r="G199" t="s">
        <v>18</v>
      </c>
      <c r="H199" s="1">
        <v>45342</v>
      </c>
      <c r="I199" s="1">
        <v>45342</v>
      </c>
      <c r="J199">
        <f>Sheet1[[#This Row],[Close Date]]-Sheet1[[#This Row],[Open Date]]</f>
        <v>0</v>
      </c>
      <c r="K199" t="str">
        <f>IF(Sheet1[[#This Row],[Actual Days]]&gt;=1,"Not Met","Met")</f>
        <v>Met</v>
      </c>
      <c r="L199" t="str">
        <f>TEXT(Sheet1[[#This Row],[Open Date]],"mmm")</f>
        <v>Feb</v>
      </c>
    </row>
    <row r="200" spans="1:12" x14ac:dyDescent="0.3">
      <c r="A200" t="s">
        <v>452</v>
      </c>
      <c r="B200" t="s">
        <v>22</v>
      </c>
      <c r="C200" t="s">
        <v>23</v>
      </c>
      <c r="D200" t="s">
        <v>24</v>
      </c>
      <c r="E200" t="s">
        <v>25</v>
      </c>
      <c r="F200" t="s">
        <v>26</v>
      </c>
      <c r="G200" t="s">
        <v>27</v>
      </c>
      <c r="H200" s="1">
        <v>45445</v>
      </c>
      <c r="I200" s="1">
        <v>45445</v>
      </c>
      <c r="J200">
        <f>Sheet1[[#This Row],[Close Date]]-Sheet1[[#This Row],[Open Date]]</f>
        <v>0</v>
      </c>
      <c r="K200" t="str">
        <f>IF(Sheet1[[#This Row],[Actual Days]]&gt;=1,"Not Met","Met")</f>
        <v>Met</v>
      </c>
      <c r="L200" t="str">
        <f>TEXT(Sheet1[[#This Row],[Open Date]],"mmm")</f>
        <v>Jun</v>
      </c>
    </row>
    <row r="201" spans="1:12" x14ac:dyDescent="0.3">
      <c r="A201" t="s">
        <v>453</v>
      </c>
      <c r="B201" t="s">
        <v>30</v>
      </c>
      <c r="C201" t="s">
        <v>31</v>
      </c>
      <c r="D201" t="s">
        <v>32</v>
      </c>
      <c r="E201" t="s">
        <v>33</v>
      </c>
      <c r="F201" t="s">
        <v>26</v>
      </c>
      <c r="G201" t="s">
        <v>34</v>
      </c>
      <c r="H201" s="1">
        <v>45331</v>
      </c>
      <c r="I201" s="1">
        <v>45331</v>
      </c>
      <c r="J201">
        <f>Sheet1[[#This Row],[Close Date]]-Sheet1[[#This Row],[Open Date]]</f>
        <v>0</v>
      </c>
      <c r="K201" t="str">
        <f>IF(Sheet1[[#This Row],[Actual Days]]&gt;=1,"Not Met","Met")</f>
        <v>Met</v>
      </c>
      <c r="L201" t="str">
        <f>TEXT(Sheet1[[#This Row],[Open Date]],"mmm")</f>
        <v>Feb</v>
      </c>
    </row>
    <row r="202" spans="1:12" x14ac:dyDescent="0.3">
      <c r="A202" t="s">
        <v>454</v>
      </c>
      <c r="B202" t="s">
        <v>36</v>
      </c>
      <c r="C202" t="s">
        <v>37</v>
      </c>
      <c r="D202" t="s">
        <v>38</v>
      </c>
      <c r="E202" t="s">
        <v>39</v>
      </c>
      <c r="F202" t="s">
        <v>40</v>
      </c>
      <c r="G202" t="s">
        <v>18</v>
      </c>
      <c r="H202" s="1">
        <v>45444</v>
      </c>
      <c r="I202" s="1">
        <v>45444</v>
      </c>
      <c r="J202">
        <f>Sheet1[[#This Row],[Close Date]]-Sheet1[[#This Row],[Open Date]]</f>
        <v>0</v>
      </c>
      <c r="K202" t="str">
        <f>IF(Sheet1[[#This Row],[Actual Days]]&gt;=1,"Not Met","Met")</f>
        <v>Met</v>
      </c>
      <c r="L202" t="str">
        <f>TEXT(Sheet1[[#This Row],[Open Date]],"mmm")</f>
        <v>Jun</v>
      </c>
    </row>
    <row r="203" spans="1:12" x14ac:dyDescent="0.3">
      <c r="A203" t="s">
        <v>455</v>
      </c>
      <c r="B203" t="s">
        <v>42</v>
      </c>
      <c r="C203" t="s">
        <v>43</v>
      </c>
      <c r="D203" t="s">
        <v>156</v>
      </c>
      <c r="E203" t="s">
        <v>44</v>
      </c>
      <c r="F203" t="s">
        <v>40</v>
      </c>
      <c r="G203" t="s">
        <v>45</v>
      </c>
      <c r="H203" s="1">
        <v>45304</v>
      </c>
      <c r="I203" s="1">
        <v>45304</v>
      </c>
      <c r="J203">
        <f>Sheet1[[#This Row],[Close Date]]-Sheet1[[#This Row],[Open Date]]</f>
        <v>0</v>
      </c>
      <c r="K203" t="str">
        <f>IF(Sheet1[[#This Row],[Actual Days]]&gt;=1,"Not Met","Met")</f>
        <v>Met</v>
      </c>
      <c r="L203" t="str">
        <f>TEXT(Sheet1[[#This Row],[Open Date]],"mmm")</f>
        <v>Jan</v>
      </c>
    </row>
    <row r="204" spans="1:12" x14ac:dyDescent="0.3">
      <c r="A204" t="s">
        <v>456</v>
      </c>
      <c r="B204" t="s">
        <v>22</v>
      </c>
      <c r="C204" t="s">
        <v>23</v>
      </c>
      <c r="D204" t="s">
        <v>15</v>
      </c>
      <c r="E204" t="s">
        <v>48</v>
      </c>
      <c r="F204" t="s">
        <v>40</v>
      </c>
      <c r="G204" t="s">
        <v>49</v>
      </c>
      <c r="H204" s="1">
        <v>45338</v>
      </c>
      <c r="I204" s="1">
        <v>45339</v>
      </c>
      <c r="J204">
        <f>Sheet1[[#This Row],[Close Date]]-Sheet1[[#This Row],[Open Date]]</f>
        <v>1</v>
      </c>
      <c r="K204" t="str">
        <f>IF(Sheet1[[#This Row],[Actual Days]]&gt;=1,"Not Met","Met")</f>
        <v>Not Met</v>
      </c>
      <c r="L204" t="str">
        <f>TEXT(Sheet1[[#This Row],[Open Date]],"mmm")</f>
        <v>Feb</v>
      </c>
    </row>
    <row r="205" spans="1:12" x14ac:dyDescent="0.3">
      <c r="A205" t="s">
        <v>457</v>
      </c>
      <c r="B205" t="s">
        <v>30</v>
      </c>
      <c r="C205" t="s">
        <v>51</v>
      </c>
      <c r="D205" t="s">
        <v>15</v>
      </c>
      <c r="E205" t="s">
        <v>52</v>
      </c>
      <c r="F205" t="s">
        <v>40</v>
      </c>
      <c r="G205" t="s">
        <v>49</v>
      </c>
      <c r="H205" s="1">
        <v>45314</v>
      </c>
      <c r="I205" s="1">
        <v>45315</v>
      </c>
      <c r="J205">
        <f>Sheet1[[#This Row],[Close Date]]-Sheet1[[#This Row],[Open Date]]</f>
        <v>1</v>
      </c>
      <c r="K205" t="str">
        <f>IF(Sheet1[[#This Row],[Actual Days]]&gt;=1,"Not Met","Met")</f>
        <v>Not Met</v>
      </c>
      <c r="L205" t="str">
        <f>TEXT(Sheet1[[#This Row],[Open Date]],"mmm")</f>
        <v>Jan</v>
      </c>
    </row>
    <row r="206" spans="1:12" x14ac:dyDescent="0.3">
      <c r="A206" t="s">
        <v>458</v>
      </c>
      <c r="B206" t="s">
        <v>30</v>
      </c>
      <c r="C206" t="s">
        <v>51</v>
      </c>
      <c r="D206" t="s">
        <v>32</v>
      </c>
      <c r="E206" t="s">
        <v>55</v>
      </c>
      <c r="F206" t="s">
        <v>17</v>
      </c>
      <c r="G206" t="s">
        <v>34</v>
      </c>
      <c r="H206" s="1">
        <v>45400</v>
      </c>
      <c r="I206" s="1">
        <v>45400</v>
      </c>
      <c r="J206">
        <f>Sheet1[[#This Row],[Close Date]]-Sheet1[[#This Row],[Open Date]]</f>
        <v>0</v>
      </c>
      <c r="K206" t="str">
        <f>IF(Sheet1[[#This Row],[Actual Days]]&gt;=1,"Not Met","Met")</f>
        <v>Met</v>
      </c>
      <c r="L206" t="str">
        <f>TEXT(Sheet1[[#This Row],[Open Date]],"mmm")</f>
        <v>Apr</v>
      </c>
    </row>
    <row r="207" spans="1:12" x14ac:dyDescent="0.3">
      <c r="A207" t="s">
        <v>459</v>
      </c>
      <c r="B207" t="s">
        <v>42</v>
      </c>
      <c r="C207" t="s">
        <v>107</v>
      </c>
      <c r="D207" t="s">
        <v>38</v>
      </c>
      <c r="E207" t="s">
        <v>58</v>
      </c>
      <c r="F207" t="s">
        <v>40</v>
      </c>
      <c r="G207" t="s">
        <v>59</v>
      </c>
      <c r="H207" s="1">
        <v>45428</v>
      </c>
      <c r="I207" s="1">
        <v>45428</v>
      </c>
      <c r="J207">
        <f>Sheet1[[#This Row],[Close Date]]-Sheet1[[#This Row],[Open Date]]</f>
        <v>0</v>
      </c>
      <c r="K207" t="str">
        <f>IF(Sheet1[[#This Row],[Actual Days]]&gt;=1,"Not Met","Met")</f>
        <v>Met</v>
      </c>
      <c r="L207" t="str">
        <f>TEXT(Sheet1[[#This Row],[Open Date]],"mmm")</f>
        <v>May</v>
      </c>
    </row>
    <row r="208" spans="1:12" x14ac:dyDescent="0.3">
      <c r="A208" t="s">
        <v>460</v>
      </c>
      <c r="B208" t="s">
        <v>36</v>
      </c>
      <c r="C208" t="s">
        <v>62</v>
      </c>
      <c r="D208" t="s">
        <v>32</v>
      </c>
      <c r="E208" t="s">
        <v>63</v>
      </c>
      <c r="F208" t="s">
        <v>26</v>
      </c>
      <c r="G208" t="s">
        <v>45</v>
      </c>
      <c r="H208" s="1">
        <v>45384</v>
      </c>
      <c r="I208" s="1">
        <v>45384</v>
      </c>
      <c r="J208">
        <f>Sheet1[[#This Row],[Close Date]]-Sheet1[[#This Row],[Open Date]]</f>
        <v>0</v>
      </c>
      <c r="K208" t="str">
        <f>IF(Sheet1[[#This Row],[Actual Days]]&gt;=1,"Not Met","Met")</f>
        <v>Met</v>
      </c>
      <c r="L208" t="str">
        <f>TEXT(Sheet1[[#This Row],[Open Date]],"mmm")</f>
        <v>Apr</v>
      </c>
    </row>
    <row r="209" spans="1:12" x14ac:dyDescent="0.3">
      <c r="A209" t="s">
        <v>461</v>
      </c>
      <c r="B209" t="s">
        <v>13</v>
      </c>
      <c r="C209" t="s">
        <v>65</v>
      </c>
      <c r="D209" t="s">
        <v>24</v>
      </c>
      <c r="E209" t="s">
        <v>66</v>
      </c>
      <c r="F209" t="s">
        <v>26</v>
      </c>
      <c r="G209" t="s">
        <v>34</v>
      </c>
      <c r="H209" s="1">
        <v>45437</v>
      </c>
      <c r="I209" s="1">
        <v>45437</v>
      </c>
      <c r="J209">
        <f>Sheet1[[#This Row],[Close Date]]-Sheet1[[#This Row],[Open Date]]</f>
        <v>0</v>
      </c>
      <c r="K209" t="str">
        <f>IF(Sheet1[[#This Row],[Actual Days]]&gt;=1,"Not Met","Met")</f>
        <v>Met</v>
      </c>
      <c r="L209" t="str">
        <f>TEXT(Sheet1[[#This Row],[Open Date]],"mmm")</f>
        <v>May</v>
      </c>
    </row>
    <row r="210" spans="1:12" x14ac:dyDescent="0.3">
      <c r="A210" t="s">
        <v>462</v>
      </c>
      <c r="B210" t="s">
        <v>13</v>
      </c>
      <c r="C210" t="s">
        <v>68</v>
      </c>
      <c r="D210" t="s">
        <v>38</v>
      </c>
      <c r="E210" t="s">
        <v>69</v>
      </c>
      <c r="F210" t="s">
        <v>40</v>
      </c>
      <c r="G210" t="s">
        <v>49</v>
      </c>
      <c r="H210" s="1">
        <v>45451</v>
      </c>
      <c r="I210" s="1">
        <v>45451</v>
      </c>
      <c r="J210">
        <f>Sheet1[[#This Row],[Close Date]]-Sheet1[[#This Row],[Open Date]]</f>
        <v>0</v>
      </c>
      <c r="K210" t="str">
        <f>IF(Sheet1[[#This Row],[Actual Days]]&gt;=1,"Not Met","Met")</f>
        <v>Met</v>
      </c>
      <c r="L210" t="str">
        <f>TEXT(Sheet1[[#This Row],[Open Date]],"mmm")</f>
        <v>Jun</v>
      </c>
    </row>
    <row r="211" spans="1:12" x14ac:dyDescent="0.3">
      <c r="A211" t="s">
        <v>463</v>
      </c>
      <c r="B211" t="s">
        <v>36</v>
      </c>
      <c r="C211" t="s">
        <v>37</v>
      </c>
      <c r="D211" t="s">
        <v>32</v>
      </c>
      <c r="E211" t="s">
        <v>71</v>
      </c>
      <c r="F211" t="s">
        <v>26</v>
      </c>
      <c r="G211" t="s">
        <v>59</v>
      </c>
      <c r="H211" s="1">
        <v>45344</v>
      </c>
      <c r="I211" s="1">
        <v>45344</v>
      </c>
      <c r="J211">
        <f>Sheet1[[#This Row],[Close Date]]-Sheet1[[#This Row],[Open Date]]</f>
        <v>0</v>
      </c>
      <c r="K211" t="str">
        <f>IF(Sheet1[[#This Row],[Actual Days]]&gt;=1,"Not Met","Met")</f>
        <v>Met</v>
      </c>
      <c r="L211" t="str">
        <f>TEXT(Sheet1[[#This Row],[Open Date]],"mmm")</f>
        <v>Feb</v>
      </c>
    </row>
    <row r="212" spans="1:12" x14ac:dyDescent="0.3">
      <c r="A212" t="s">
        <v>464</v>
      </c>
      <c r="B212" t="s">
        <v>13</v>
      </c>
      <c r="C212" t="s">
        <v>14</v>
      </c>
      <c r="D212" t="s">
        <v>73</v>
      </c>
      <c r="E212" t="s">
        <v>74</v>
      </c>
      <c r="F212" t="s">
        <v>17</v>
      </c>
      <c r="G212" t="s">
        <v>34</v>
      </c>
      <c r="H212" s="1">
        <v>45342</v>
      </c>
      <c r="I212" s="1">
        <v>45342</v>
      </c>
      <c r="J212">
        <f>Sheet1[[#This Row],[Close Date]]-Sheet1[[#This Row],[Open Date]]</f>
        <v>0</v>
      </c>
      <c r="K212" t="str">
        <f>IF(Sheet1[[#This Row],[Actual Days]]&gt;=1,"Not Met","Met")</f>
        <v>Met</v>
      </c>
      <c r="L212" t="str">
        <f>TEXT(Sheet1[[#This Row],[Open Date]],"mmm")</f>
        <v>Feb</v>
      </c>
    </row>
    <row r="213" spans="1:12" x14ac:dyDescent="0.3">
      <c r="A213" t="s">
        <v>465</v>
      </c>
      <c r="B213" t="s">
        <v>36</v>
      </c>
      <c r="C213" t="s">
        <v>76</v>
      </c>
      <c r="D213" t="s">
        <v>73</v>
      </c>
      <c r="E213" t="s">
        <v>77</v>
      </c>
      <c r="F213" t="s">
        <v>17</v>
      </c>
      <c r="G213" t="s">
        <v>18</v>
      </c>
      <c r="H213" s="1">
        <v>45452</v>
      </c>
      <c r="I213" s="1">
        <v>45452</v>
      </c>
      <c r="J213">
        <f>Sheet1[[#This Row],[Close Date]]-Sheet1[[#This Row],[Open Date]]</f>
        <v>0</v>
      </c>
      <c r="K213" t="str">
        <f>IF(Sheet1[[#This Row],[Actual Days]]&gt;=1,"Not Met","Met")</f>
        <v>Met</v>
      </c>
      <c r="L213" t="str">
        <f>TEXT(Sheet1[[#This Row],[Open Date]],"mmm")</f>
        <v>Jun</v>
      </c>
    </row>
    <row r="214" spans="1:12" x14ac:dyDescent="0.3">
      <c r="A214" t="s">
        <v>466</v>
      </c>
      <c r="B214" t="s">
        <v>13</v>
      </c>
      <c r="C214" t="s">
        <v>68</v>
      </c>
      <c r="D214" t="s">
        <v>73</v>
      </c>
      <c r="E214" t="s">
        <v>79</v>
      </c>
      <c r="F214" t="s">
        <v>40</v>
      </c>
      <c r="G214" t="s">
        <v>34</v>
      </c>
      <c r="H214" s="1">
        <v>45296</v>
      </c>
      <c r="I214" s="1">
        <v>45297</v>
      </c>
      <c r="J214">
        <f>Sheet1[[#This Row],[Close Date]]-Sheet1[[#This Row],[Open Date]]</f>
        <v>1</v>
      </c>
      <c r="K214" t="str">
        <f>IF(Sheet1[[#This Row],[Actual Days]]&gt;=1,"Not Met","Met")</f>
        <v>Not Met</v>
      </c>
      <c r="L214" t="str">
        <f>TEXT(Sheet1[[#This Row],[Open Date]],"mmm")</f>
        <v>Jan</v>
      </c>
    </row>
    <row r="215" spans="1:12" x14ac:dyDescent="0.3">
      <c r="A215" t="s">
        <v>467</v>
      </c>
      <c r="B215" t="s">
        <v>13</v>
      </c>
      <c r="C215" t="s">
        <v>65</v>
      </c>
      <c r="D215" t="s">
        <v>38</v>
      </c>
      <c r="E215" t="s">
        <v>81</v>
      </c>
      <c r="F215" t="s">
        <v>17</v>
      </c>
      <c r="G215" t="s">
        <v>18</v>
      </c>
      <c r="H215" s="1">
        <v>45361</v>
      </c>
      <c r="I215" s="1">
        <v>45361</v>
      </c>
      <c r="J215">
        <f>Sheet1[[#This Row],[Close Date]]-Sheet1[[#This Row],[Open Date]]</f>
        <v>0</v>
      </c>
      <c r="K215" t="str">
        <f>IF(Sheet1[[#This Row],[Actual Days]]&gt;=1,"Not Met","Met")</f>
        <v>Met</v>
      </c>
      <c r="L215" t="str">
        <f>TEXT(Sheet1[[#This Row],[Open Date]],"mmm")</f>
        <v>Mar</v>
      </c>
    </row>
    <row r="216" spans="1:12" x14ac:dyDescent="0.3">
      <c r="A216" t="s">
        <v>468</v>
      </c>
      <c r="B216" t="s">
        <v>22</v>
      </c>
      <c r="C216" t="s">
        <v>84</v>
      </c>
      <c r="D216" t="s">
        <v>38</v>
      </c>
      <c r="E216" t="s">
        <v>85</v>
      </c>
      <c r="F216" t="s">
        <v>40</v>
      </c>
      <c r="G216" t="s">
        <v>18</v>
      </c>
      <c r="H216" s="1">
        <v>45405</v>
      </c>
      <c r="I216" s="1">
        <v>45405</v>
      </c>
      <c r="J216">
        <f>Sheet1[[#This Row],[Close Date]]-Sheet1[[#This Row],[Open Date]]</f>
        <v>0</v>
      </c>
      <c r="K216" t="str">
        <f>IF(Sheet1[[#This Row],[Actual Days]]&gt;=1,"Not Met","Met")</f>
        <v>Met</v>
      </c>
      <c r="L216" t="str">
        <f>TEXT(Sheet1[[#This Row],[Open Date]],"mmm")</f>
        <v>Apr</v>
      </c>
    </row>
    <row r="217" spans="1:12" x14ac:dyDescent="0.3">
      <c r="A217" t="s">
        <v>469</v>
      </c>
      <c r="B217" t="s">
        <v>13</v>
      </c>
      <c r="C217" t="s">
        <v>14</v>
      </c>
      <c r="D217" t="s">
        <v>87</v>
      </c>
      <c r="E217" t="s">
        <v>88</v>
      </c>
      <c r="F217" t="s">
        <v>17</v>
      </c>
      <c r="G217" t="s">
        <v>45</v>
      </c>
      <c r="H217" s="1">
        <v>45296</v>
      </c>
      <c r="I217" s="1">
        <v>45296</v>
      </c>
      <c r="J217">
        <f>Sheet1[[#This Row],[Close Date]]-Sheet1[[#This Row],[Open Date]]</f>
        <v>0</v>
      </c>
      <c r="K217" t="str">
        <f>IF(Sheet1[[#This Row],[Actual Days]]&gt;=1,"Not Met","Met")</f>
        <v>Met</v>
      </c>
      <c r="L217" t="str">
        <f>TEXT(Sheet1[[#This Row],[Open Date]],"mmm")</f>
        <v>Jan</v>
      </c>
    </row>
    <row r="218" spans="1:12" x14ac:dyDescent="0.3">
      <c r="A218" t="s">
        <v>470</v>
      </c>
      <c r="B218" t="s">
        <v>13</v>
      </c>
      <c r="C218" t="s">
        <v>65</v>
      </c>
      <c r="D218" t="s">
        <v>38</v>
      </c>
      <c r="E218" t="s">
        <v>90</v>
      </c>
      <c r="F218" t="s">
        <v>17</v>
      </c>
      <c r="G218" t="s">
        <v>45</v>
      </c>
      <c r="H218" s="1">
        <v>45326</v>
      </c>
      <c r="I218" s="1">
        <v>45326</v>
      </c>
      <c r="J218">
        <f>Sheet1[[#This Row],[Close Date]]-Sheet1[[#This Row],[Open Date]]</f>
        <v>0</v>
      </c>
      <c r="K218" t="str">
        <f>IF(Sheet1[[#This Row],[Actual Days]]&gt;=1,"Not Met","Met")</f>
        <v>Met</v>
      </c>
      <c r="L218" t="str">
        <f>TEXT(Sheet1[[#This Row],[Open Date]],"mmm")</f>
        <v>Feb</v>
      </c>
    </row>
    <row r="219" spans="1:12" x14ac:dyDescent="0.3">
      <c r="A219" t="s">
        <v>471</v>
      </c>
      <c r="B219" t="s">
        <v>30</v>
      </c>
      <c r="C219" t="s">
        <v>51</v>
      </c>
      <c r="D219" t="s">
        <v>38</v>
      </c>
      <c r="E219" t="s">
        <v>92</v>
      </c>
      <c r="F219" t="s">
        <v>40</v>
      </c>
      <c r="G219" t="s">
        <v>18</v>
      </c>
      <c r="H219" s="1">
        <v>45329</v>
      </c>
      <c r="I219" s="1">
        <v>45329</v>
      </c>
      <c r="J219">
        <f>Sheet1[[#This Row],[Close Date]]-Sheet1[[#This Row],[Open Date]]</f>
        <v>0</v>
      </c>
      <c r="K219" t="str">
        <f>IF(Sheet1[[#This Row],[Actual Days]]&gt;=1,"Not Met","Met")</f>
        <v>Met</v>
      </c>
      <c r="L219" t="str">
        <f>TEXT(Sheet1[[#This Row],[Open Date]],"mmm")</f>
        <v>Feb</v>
      </c>
    </row>
    <row r="220" spans="1:12" x14ac:dyDescent="0.3">
      <c r="A220" t="s">
        <v>472</v>
      </c>
      <c r="B220" t="s">
        <v>36</v>
      </c>
      <c r="C220" t="s">
        <v>37</v>
      </c>
      <c r="D220" t="s">
        <v>94</v>
      </c>
      <c r="E220" t="s">
        <v>95</v>
      </c>
      <c r="F220" t="s">
        <v>40</v>
      </c>
      <c r="G220" t="s">
        <v>18</v>
      </c>
      <c r="H220" s="1">
        <v>45301</v>
      </c>
      <c r="I220" s="1">
        <v>45301</v>
      </c>
      <c r="J220">
        <f>Sheet1[[#This Row],[Close Date]]-Sheet1[[#This Row],[Open Date]]</f>
        <v>0</v>
      </c>
      <c r="K220" t="str">
        <f>IF(Sheet1[[#This Row],[Actual Days]]&gt;=1,"Not Met","Met")</f>
        <v>Met</v>
      </c>
      <c r="L220" t="str">
        <f>TEXT(Sheet1[[#This Row],[Open Date]],"mmm")</f>
        <v>Jan</v>
      </c>
    </row>
    <row r="221" spans="1:12" x14ac:dyDescent="0.3">
      <c r="A221" t="s">
        <v>473</v>
      </c>
      <c r="B221" t="s">
        <v>36</v>
      </c>
      <c r="C221" t="s">
        <v>76</v>
      </c>
      <c r="D221" t="s">
        <v>38</v>
      </c>
      <c r="E221" t="s">
        <v>97</v>
      </c>
      <c r="F221" t="s">
        <v>26</v>
      </c>
      <c r="G221" t="s">
        <v>59</v>
      </c>
      <c r="H221" s="1">
        <v>45413</v>
      </c>
      <c r="I221" s="1">
        <v>45413</v>
      </c>
      <c r="J221">
        <f>Sheet1[[#This Row],[Close Date]]-Sheet1[[#This Row],[Open Date]]</f>
        <v>0</v>
      </c>
      <c r="K221" t="str">
        <f>IF(Sheet1[[#This Row],[Actual Days]]&gt;=1,"Not Met","Met")</f>
        <v>Met</v>
      </c>
      <c r="L221" t="str">
        <f>TEXT(Sheet1[[#This Row],[Open Date]],"mmm")</f>
        <v>May</v>
      </c>
    </row>
    <row r="222" spans="1:12" x14ac:dyDescent="0.3">
      <c r="A222" t="s">
        <v>474</v>
      </c>
      <c r="B222" t="s">
        <v>13</v>
      </c>
      <c r="C222" t="s">
        <v>14</v>
      </c>
      <c r="D222" t="s">
        <v>15</v>
      </c>
      <c r="E222" t="s">
        <v>99</v>
      </c>
      <c r="F222" t="s">
        <v>17</v>
      </c>
      <c r="G222" t="s">
        <v>34</v>
      </c>
      <c r="H222" s="1">
        <v>45377</v>
      </c>
      <c r="I222" s="1">
        <v>45377</v>
      </c>
      <c r="J222">
        <f>Sheet1[[#This Row],[Close Date]]-Sheet1[[#This Row],[Open Date]]</f>
        <v>0</v>
      </c>
      <c r="K222" t="str">
        <f>IF(Sheet1[[#This Row],[Actual Days]]&gt;=1,"Not Met","Met")</f>
        <v>Met</v>
      </c>
      <c r="L222" t="str">
        <f>TEXT(Sheet1[[#This Row],[Open Date]],"mmm")</f>
        <v>Mar</v>
      </c>
    </row>
    <row r="223" spans="1:12" x14ac:dyDescent="0.3">
      <c r="A223" t="s">
        <v>475</v>
      </c>
      <c r="B223" t="s">
        <v>22</v>
      </c>
      <c r="C223" t="s">
        <v>101</v>
      </c>
      <c r="D223" t="s">
        <v>73</v>
      </c>
      <c r="E223" t="s">
        <v>102</v>
      </c>
      <c r="F223" t="s">
        <v>26</v>
      </c>
      <c r="G223" t="s">
        <v>27</v>
      </c>
      <c r="H223" s="1">
        <v>45322</v>
      </c>
      <c r="I223" s="1">
        <v>45322</v>
      </c>
      <c r="J223">
        <f>Sheet1[[#This Row],[Close Date]]-Sheet1[[#This Row],[Open Date]]</f>
        <v>0</v>
      </c>
      <c r="K223" t="str">
        <f>IF(Sheet1[[#This Row],[Actual Days]]&gt;=1,"Not Met","Met")</f>
        <v>Met</v>
      </c>
      <c r="L223" t="str">
        <f>TEXT(Sheet1[[#This Row],[Open Date]],"mmm")</f>
        <v>Jan</v>
      </c>
    </row>
    <row r="224" spans="1:12" x14ac:dyDescent="0.3">
      <c r="A224" t="s">
        <v>476</v>
      </c>
      <c r="B224" t="s">
        <v>42</v>
      </c>
      <c r="C224" t="s">
        <v>104</v>
      </c>
      <c r="D224" t="s">
        <v>156</v>
      </c>
      <c r="E224" t="s">
        <v>105</v>
      </c>
      <c r="F224" t="s">
        <v>40</v>
      </c>
      <c r="G224" t="s">
        <v>59</v>
      </c>
      <c r="H224" s="1">
        <v>45392</v>
      </c>
      <c r="I224" s="1">
        <v>45392</v>
      </c>
      <c r="J224">
        <f>Sheet1[[#This Row],[Close Date]]-Sheet1[[#This Row],[Open Date]]</f>
        <v>0</v>
      </c>
      <c r="K224" t="str">
        <f>IF(Sheet1[[#This Row],[Actual Days]]&gt;=1,"Not Met","Met")</f>
        <v>Met</v>
      </c>
      <c r="L224" t="str">
        <f>TEXT(Sheet1[[#This Row],[Open Date]],"mmm")</f>
        <v>Apr</v>
      </c>
    </row>
    <row r="225" spans="1:12" x14ac:dyDescent="0.3">
      <c r="A225" t="s">
        <v>477</v>
      </c>
      <c r="B225" t="s">
        <v>42</v>
      </c>
      <c r="C225" t="s">
        <v>107</v>
      </c>
      <c r="D225" t="s">
        <v>24</v>
      </c>
      <c r="E225" t="s">
        <v>108</v>
      </c>
      <c r="F225" t="s">
        <v>26</v>
      </c>
      <c r="G225" t="s">
        <v>49</v>
      </c>
      <c r="H225" s="1">
        <v>45315</v>
      </c>
      <c r="I225" s="1">
        <v>45316</v>
      </c>
      <c r="J225">
        <f>Sheet1[[#This Row],[Close Date]]-Sheet1[[#This Row],[Open Date]]</f>
        <v>1</v>
      </c>
      <c r="K225" t="str">
        <f>IF(Sheet1[[#This Row],[Actual Days]]&gt;=1,"Not Met","Met")</f>
        <v>Not Met</v>
      </c>
      <c r="L225" t="str">
        <f>TEXT(Sheet1[[#This Row],[Open Date]],"mmm")</f>
        <v>Jan</v>
      </c>
    </row>
    <row r="226" spans="1:12" x14ac:dyDescent="0.3">
      <c r="A226" t="s">
        <v>478</v>
      </c>
      <c r="B226" t="s">
        <v>22</v>
      </c>
      <c r="C226" t="s">
        <v>23</v>
      </c>
      <c r="D226" t="s">
        <v>156</v>
      </c>
      <c r="E226" t="s">
        <v>110</v>
      </c>
      <c r="F226" t="s">
        <v>17</v>
      </c>
      <c r="G226" t="s">
        <v>45</v>
      </c>
      <c r="H226" s="1">
        <v>45301</v>
      </c>
      <c r="I226" s="1">
        <v>45301</v>
      </c>
      <c r="J226">
        <f>Sheet1[[#This Row],[Close Date]]-Sheet1[[#This Row],[Open Date]]</f>
        <v>0</v>
      </c>
      <c r="K226" t="str">
        <f>IF(Sheet1[[#This Row],[Actual Days]]&gt;=1,"Not Met","Met")</f>
        <v>Met</v>
      </c>
      <c r="L226" t="str">
        <f>TEXT(Sheet1[[#This Row],[Open Date]],"mmm")</f>
        <v>Jan</v>
      </c>
    </row>
    <row r="227" spans="1:12" x14ac:dyDescent="0.3">
      <c r="A227" t="s">
        <v>479</v>
      </c>
      <c r="B227" t="s">
        <v>13</v>
      </c>
      <c r="C227" t="s">
        <v>14</v>
      </c>
      <c r="D227" t="s">
        <v>38</v>
      </c>
      <c r="E227" t="s">
        <v>114</v>
      </c>
      <c r="F227" t="s">
        <v>17</v>
      </c>
      <c r="G227" t="s">
        <v>27</v>
      </c>
      <c r="H227" s="1">
        <v>45322</v>
      </c>
      <c r="I227" s="1">
        <v>45322</v>
      </c>
      <c r="J227">
        <f>Sheet1[[#This Row],[Close Date]]-Sheet1[[#This Row],[Open Date]]</f>
        <v>0</v>
      </c>
      <c r="K227" t="str">
        <f>IF(Sheet1[[#This Row],[Actual Days]]&gt;=1,"Not Met","Met")</f>
        <v>Met</v>
      </c>
      <c r="L227" t="str">
        <f>TEXT(Sheet1[[#This Row],[Open Date]],"mmm")</f>
        <v>Jan</v>
      </c>
    </row>
    <row r="228" spans="1:12" x14ac:dyDescent="0.3">
      <c r="A228" t="s">
        <v>480</v>
      </c>
      <c r="B228" t="s">
        <v>30</v>
      </c>
      <c r="C228" t="s">
        <v>51</v>
      </c>
      <c r="D228" t="s">
        <v>38</v>
      </c>
      <c r="E228" t="s">
        <v>116</v>
      </c>
      <c r="F228" t="s">
        <v>40</v>
      </c>
      <c r="G228" t="s">
        <v>18</v>
      </c>
      <c r="H228" s="1">
        <v>45430</v>
      </c>
      <c r="I228" s="1">
        <v>45430</v>
      </c>
      <c r="J228">
        <f>Sheet1[[#This Row],[Close Date]]-Sheet1[[#This Row],[Open Date]]</f>
        <v>0</v>
      </c>
      <c r="K228" t="str">
        <f>IF(Sheet1[[#This Row],[Actual Days]]&gt;=1,"Not Met","Met")</f>
        <v>Met</v>
      </c>
      <c r="L228" t="str">
        <f>TEXT(Sheet1[[#This Row],[Open Date]],"mmm")</f>
        <v>May</v>
      </c>
    </row>
    <row r="229" spans="1:12" x14ac:dyDescent="0.3">
      <c r="A229" t="s">
        <v>481</v>
      </c>
      <c r="B229" t="s">
        <v>13</v>
      </c>
      <c r="C229" t="s">
        <v>14</v>
      </c>
      <c r="D229" t="s">
        <v>87</v>
      </c>
      <c r="E229" t="s">
        <v>118</v>
      </c>
      <c r="F229" t="s">
        <v>26</v>
      </c>
      <c r="G229" t="s">
        <v>27</v>
      </c>
      <c r="H229" s="1">
        <v>45330</v>
      </c>
      <c r="I229" s="1">
        <v>45330</v>
      </c>
      <c r="J229">
        <f>Sheet1[[#This Row],[Close Date]]-Sheet1[[#This Row],[Open Date]]</f>
        <v>0</v>
      </c>
      <c r="K229" t="str">
        <f>IF(Sheet1[[#This Row],[Actual Days]]&gt;=1,"Not Met","Met")</f>
        <v>Met</v>
      </c>
      <c r="L229" t="str">
        <f>TEXT(Sheet1[[#This Row],[Open Date]],"mmm")</f>
        <v>Feb</v>
      </c>
    </row>
    <row r="230" spans="1:12" x14ac:dyDescent="0.3">
      <c r="A230" t="s">
        <v>482</v>
      </c>
      <c r="B230" t="s">
        <v>13</v>
      </c>
      <c r="C230" t="s">
        <v>68</v>
      </c>
      <c r="D230" t="s">
        <v>73</v>
      </c>
      <c r="E230" t="s">
        <v>120</v>
      </c>
      <c r="F230" t="s">
        <v>26</v>
      </c>
      <c r="G230" t="s">
        <v>45</v>
      </c>
      <c r="H230" s="1">
        <v>45304</v>
      </c>
      <c r="I230" s="1">
        <v>45304</v>
      </c>
      <c r="J230">
        <f>Sheet1[[#This Row],[Close Date]]-Sheet1[[#This Row],[Open Date]]</f>
        <v>0</v>
      </c>
      <c r="K230" t="str">
        <f>IF(Sheet1[[#This Row],[Actual Days]]&gt;=1,"Not Met","Met")</f>
        <v>Met</v>
      </c>
      <c r="L230" t="str">
        <f>TEXT(Sheet1[[#This Row],[Open Date]],"mmm")</f>
        <v>Jan</v>
      </c>
    </row>
    <row r="231" spans="1:12" x14ac:dyDescent="0.3">
      <c r="A231" t="s">
        <v>483</v>
      </c>
      <c r="B231" t="s">
        <v>36</v>
      </c>
      <c r="C231" t="s">
        <v>37</v>
      </c>
      <c r="D231" t="s">
        <v>87</v>
      </c>
      <c r="E231" t="s">
        <v>122</v>
      </c>
      <c r="F231" t="s">
        <v>26</v>
      </c>
      <c r="G231" t="s">
        <v>45</v>
      </c>
      <c r="H231" s="1">
        <v>45407</v>
      </c>
      <c r="I231" s="1">
        <v>45407</v>
      </c>
      <c r="J231">
        <f>Sheet1[[#This Row],[Close Date]]-Sheet1[[#This Row],[Open Date]]</f>
        <v>0</v>
      </c>
      <c r="K231" t="str">
        <f>IF(Sheet1[[#This Row],[Actual Days]]&gt;=1,"Not Met","Met")</f>
        <v>Met</v>
      </c>
      <c r="L231" t="str">
        <f>TEXT(Sheet1[[#This Row],[Open Date]],"mmm")</f>
        <v>Apr</v>
      </c>
    </row>
    <row r="232" spans="1:12" x14ac:dyDescent="0.3">
      <c r="A232" t="s">
        <v>484</v>
      </c>
      <c r="B232" t="s">
        <v>13</v>
      </c>
      <c r="C232" t="s">
        <v>65</v>
      </c>
      <c r="D232" t="s">
        <v>87</v>
      </c>
      <c r="E232" t="s">
        <v>124</v>
      </c>
      <c r="F232" t="s">
        <v>40</v>
      </c>
      <c r="G232" t="s">
        <v>27</v>
      </c>
      <c r="H232" s="1">
        <v>45319</v>
      </c>
      <c r="I232" s="1">
        <v>45319</v>
      </c>
      <c r="J232">
        <f>Sheet1[[#This Row],[Close Date]]-Sheet1[[#This Row],[Open Date]]</f>
        <v>0</v>
      </c>
      <c r="K232" t="str">
        <f>IF(Sheet1[[#This Row],[Actual Days]]&gt;=1,"Not Met","Met")</f>
        <v>Met</v>
      </c>
      <c r="L232" t="str">
        <f>TEXT(Sheet1[[#This Row],[Open Date]],"mmm")</f>
        <v>Jan</v>
      </c>
    </row>
    <row r="233" spans="1:12" x14ac:dyDescent="0.3">
      <c r="A233" t="s">
        <v>485</v>
      </c>
      <c r="B233" t="s">
        <v>36</v>
      </c>
      <c r="C233" t="s">
        <v>76</v>
      </c>
      <c r="D233" t="s">
        <v>94</v>
      </c>
      <c r="E233" t="s">
        <v>126</v>
      </c>
      <c r="F233" t="s">
        <v>17</v>
      </c>
      <c r="G233" t="s">
        <v>49</v>
      </c>
      <c r="H233" s="1">
        <v>45358</v>
      </c>
      <c r="I233" s="1">
        <v>45358</v>
      </c>
      <c r="J233">
        <f>Sheet1[[#This Row],[Close Date]]-Sheet1[[#This Row],[Open Date]]</f>
        <v>0</v>
      </c>
      <c r="K233" t="str">
        <f>IF(Sheet1[[#This Row],[Actual Days]]&gt;=1,"Not Met","Met")</f>
        <v>Met</v>
      </c>
      <c r="L233" t="str">
        <f>TEXT(Sheet1[[#This Row],[Open Date]],"mmm")</f>
        <v>Mar</v>
      </c>
    </row>
    <row r="234" spans="1:12" x14ac:dyDescent="0.3">
      <c r="A234" t="s">
        <v>486</v>
      </c>
      <c r="B234" t="s">
        <v>13</v>
      </c>
      <c r="C234" t="s">
        <v>14</v>
      </c>
      <c r="D234" t="s">
        <v>38</v>
      </c>
      <c r="E234" t="s">
        <v>128</v>
      </c>
      <c r="F234" t="s">
        <v>40</v>
      </c>
      <c r="G234" t="s">
        <v>45</v>
      </c>
      <c r="H234" s="1">
        <v>45449</v>
      </c>
      <c r="I234" s="1">
        <v>45449</v>
      </c>
      <c r="J234">
        <f>Sheet1[[#This Row],[Close Date]]-Sheet1[[#This Row],[Open Date]]</f>
        <v>0</v>
      </c>
      <c r="K234" t="str">
        <f>IF(Sheet1[[#This Row],[Actual Days]]&gt;=1,"Not Met","Met")</f>
        <v>Met</v>
      </c>
      <c r="L234" t="str">
        <f>TEXT(Sheet1[[#This Row],[Open Date]],"mmm")</f>
        <v>Jun</v>
      </c>
    </row>
    <row r="235" spans="1:12" x14ac:dyDescent="0.3">
      <c r="A235" t="s">
        <v>487</v>
      </c>
      <c r="B235" t="s">
        <v>22</v>
      </c>
      <c r="C235" t="s">
        <v>84</v>
      </c>
      <c r="D235" t="s">
        <v>15</v>
      </c>
      <c r="E235" t="s">
        <v>130</v>
      </c>
      <c r="F235" t="s">
        <v>17</v>
      </c>
      <c r="G235" t="s">
        <v>34</v>
      </c>
      <c r="H235" s="1">
        <v>45414</v>
      </c>
      <c r="I235" s="1">
        <v>45414</v>
      </c>
      <c r="J235">
        <f>Sheet1[[#This Row],[Close Date]]-Sheet1[[#This Row],[Open Date]]</f>
        <v>0</v>
      </c>
      <c r="K235" t="str">
        <f>IF(Sheet1[[#This Row],[Actual Days]]&gt;=1,"Not Met","Met")</f>
        <v>Met</v>
      </c>
      <c r="L235" t="str">
        <f>TEXT(Sheet1[[#This Row],[Open Date]],"mmm")</f>
        <v>May</v>
      </c>
    </row>
    <row r="236" spans="1:12" x14ac:dyDescent="0.3">
      <c r="A236" t="s">
        <v>488</v>
      </c>
      <c r="B236" t="s">
        <v>22</v>
      </c>
      <c r="C236" t="s">
        <v>84</v>
      </c>
      <c r="D236" t="s">
        <v>24</v>
      </c>
      <c r="E236" t="s">
        <v>132</v>
      </c>
      <c r="F236" t="s">
        <v>40</v>
      </c>
      <c r="G236" t="s">
        <v>27</v>
      </c>
      <c r="H236" s="1">
        <v>45326</v>
      </c>
      <c r="I236" s="1">
        <v>45326</v>
      </c>
      <c r="J236">
        <f>Sheet1[[#This Row],[Close Date]]-Sheet1[[#This Row],[Open Date]]</f>
        <v>0</v>
      </c>
      <c r="K236" t="str">
        <f>IF(Sheet1[[#This Row],[Actual Days]]&gt;=1,"Not Met","Met")</f>
        <v>Met</v>
      </c>
      <c r="L236" t="str">
        <f>TEXT(Sheet1[[#This Row],[Open Date]],"mmm")</f>
        <v>Feb</v>
      </c>
    </row>
    <row r="237" spans="1:12" x14ac:dyDescent="0.3">
      <c r="A237" t="s">
        <v>489</v>
      </c>
      <c r="B237" t="s">
        <v>13</v>
      </c>
      <c r="C237" t="s">
        <v>65</v>
      </c>
      <c r="D237" t="s">
        <v>73</v>
      </c>
      <c r="E237" t="s">
        <v>134</v>
      </c>
      <c r="F237" t="s">
        <v>17</v>
      </c>
      <c r="G237" t="s">
        <v>18</v>
      </c>
      <c r="H237" s="1">
        <v>45345</v>
      </c>
      <c r="I237" s="1">
        <v>45345</v>
      </c>
      <c r="J237">
        <f>Sheet1[[#This Row],[Close Date]]-Sheet1[[#This Row],[Open Date]]</f>
        <v>0</v>
      </c>
      <c r="K237" t="str">
        <f>IF(Sheet1[[#This Row],[Actual Days]]&gt;=1,"Not Met","Met")</f>
        <v>Met</v>
      </c>
      <c r="L237" t="str">
        <f>TEXT(Sheet1[[#This Row],[Open Date]],"mmm")</f>
        <v>Feb</v>
      </c>
    </row>
    <row r="238" spans="1:12" x14ac:dyDescent="0.3">
      <c r="A238" t="s">
        <v>490</v>
      </c>
      <c r="B238" t="s">
        <v>42</v>
      </c>
      <c r="C238" t="s">
        <v>107</v>
      </c>
      <c r="D238" t="s">
        <v>73</v>
      </c>
      <c r="E238" t="s">
        <v>136</v>
      </c>
      <c r="F238" t="s">
        <v>40</v>
      </c>
      <c r="G238" t="s">
        <v>27</v>
      </c>
      <c r="H238" s="1">
        <v>45359</v>
      </c>
      <c r="I238" s="1">
        <v>45359</v>
      </c>
      <c r="J238">
        <f>Sheet1[[#This Row],[Close Date]]-Sheet1[[#This Row],[Open Date]]</f>
        <v>0</v>
      </c>
      <c r="K238" t="str">
        <f>IF(Sheet1[[#This Row],[Actual Days]]&gt;=1,"Not Met","Met")</f>
        <v>Met</v>
      </c>
      <c r="L238" t="str">
        <f>TEXT(Sheet1[[#This Row],[Open Date]],"mmm")</f>
        <v>Mar</v>
      </c>
    </row>
    <row r="239" spans="1:12" x14ac:dyDescent="0.3">
      <c r="A239" t="s">
        <v>491</v>
      </c>
      <c r="B239" t="s">
        <v>42</v>
      </c>
      <c r="C239" t="s">
        <v>107</v>
      </c>
      <c r="D239" t="s">
        <v>38</v>
      </c>
      <c r="E239" t="s">
        <v>138</v>
      </c>
      <c r="F239" t="s">
        <v>26</v>
      </c>
      <c r="G239" t="s">
        <v>27</v>
      </c>
      <c r="H239" s="1">
        <v>45397</v>
      </c>
      <c r="I239" s="1">
        <v>45397</v>
      </c>
      <c r="J239">
        <f>Sheet1[[#This Row],[Close Date]]-Sheet1[[#This Row],[Open Date]]</f>
        <v>0</v>
      </c>
      <c r="K239" t="str">
        <f>IF(Sheet1[[#This Row],[Actual Days]]&gt;=1,"Not Met","Met")</f>
        <v>Met</v>
      </c>
      <c r="L239" t="str">
        <f>TEXT(Sheet1[[#This Row],[Open Date]],"mmm")</f>
        <v>Apr</v>
      </c>
    </row>
    <row r="240" spans="1:12" x14ac:dyDescent="0.3">
      <c r="A240" t="s">
        <v>492</v>
      </c>
      <c r="B240" t="s">
        <v>42</v>
      </c>
      <c r="C240" t="s">
        <v>104</v>
      </c>
      <c r="D240" t="s">
        <v>32</v>
      </c>
      <c r="E240" t="s">
        <v>140</v>
      </c>
      <c r="F240" t="s">
        <v>40</v>
      </c>
      <c r="G240" t="s">
        <v>18</v>
      </c>
      <c r="H240" s="1">
        <v>45394</v>
      </c>
      <c r="I240" s="1">
        <v>45394</v>
      </c>
      <c r="J240">
        <f>Sheet1[[#This Row],[Close Date]]-Sheet1[[#This Row],[Open Date]]</f>
        <v>0</v>
      </c>
      <c r="K240" t="str">
        <f>IF(Sheet1[[#This Row],[Actual Days]]&gt;=1,"Not Met","Met")</f>
        <v>Met</v>
      </c>
      <c r="L240" t="str">
        <f>TEXT(Sheet1[[#This Row],[Open Date]],"mmm")</f>
        <v>Apr</v>
      </c>
    </row>
    <row r="241" spans="1:12" x14ac:dyDescent="0.3">
      <c r="A241" t="s">
        <v>493</v>
      </c>
      <c r="B241" t="s">
        <v>22</v>
      </c>
      <c r="C241" t="s">
        <v>23</v>
      </c>
      <c r="D241" t="s">
        <v>32</v>
      </c>
      <c r="E241" t="s">
        <v>142</v>
      </c>
      <c r="F241" t="s">
        <v>26</v>
      </c>
      <c r="G241" t="s">
        <v>45</v>
      </c>
      <c r="H241" s="1">
        <v>45434</v>
      </c>
      <c r="I241" s="1">
        <v>45434</v>
      </c>
      <c r="J241">
        <f>Sheet1[[#This Row],[Close Date]]-Sheet1[[#This Row],[Open Date]]</f>
        <v>0</v>
      </c>
      <c r="K241" t="str">
        <f>IF(Sheet1[[#This Row],[Actual Days]]&gt;=1,"Not Met","Met")</f>
        <v>Met</v>
      </c>
      <c r="L241" t="str">
        <f>TEXT(Sheet1[[#This Row],[Open Date]],"mmm")</f>
        <v>May</v>
      </c>
    </row>
    <row r="242" spans="1:12" x14ac:dyDescent="0.3">
      <c r="A242" t="s">
        <v>494</v>
      </c>
      <c r="B242" t="s">
        <v>30</v>
      </c>
      <c r="C242" t="s">
        <v>31</v>
      </c>
      <c r="D242" t="s">
        <v>32</v>
      </c>
      <c r="E242" t="s">
        <v>144</v>
      </c>
      <c r="F242" t="s">
        <v>40</v>
      </c>
      <c r="G242" t="s">
        <v>45</v>
      </c>
      <c r="H242" s="1">
        <v>45321</v>
      </c>
      <c r="I242" s="1">
        <v>45321</v>
      </c>
      <c r="J242">
        <f>Sheet1[[#This Row],[Close Date]]-Sheet1[[#This Row],[Open Date]]</f>
        <v>0</v>
      </c>
      <c r="K242" t="str">
        <f>IF(Sheet1[[#This Row],[Actual Days]]&gt;=1,"Not Met","Met")</f>
        <v>Met</v>
      </c>
      <c r="L242" t="str">
        <f>TEXT(Sheet1[[#This Row],[Open Date]],"mmm")</f>
        <v>Jan</v>
      </c>
    </row>
    <row r="243" spans="1:12" x14ac:dyDescent="0.3">
      <c r="A243" t="s">
        <v>495</v>
      </c>
      <c r="B243" t="s">
        <v>30</v>
      </c>
      <c r="C243" t="s">
        <v>31</v>
      </c>
      <c r="D243" t="s">
        <v>87</v>
      </c>
      <c r="E243" t="s">
        <v>146</v>
      </c>
      <c r="F243" t="s">
        <v>40</v>
      </c>
      <c r="G243" t="s">
        <v>27</v>
      </c>
      <c r="H243" s="1">
        <v>45418</v>
      </c>
      <c r="I243" s="1">
        <v>45418</v>
      </c>
      <c r="J243">
        <f>Sheet1[[#This Row],[Close Date]]-Sheet1[[#This Row],[Open Date]]</f>
        <v>0</v>
      </c>
      <c r="K243" t="str">
        <f>IF(Sheet1[[#This Row],[Actual Days]]&gt;=1,"Not Met","Met")</f>
        <v>Met</v>
      </c>
      <c r="L243" t="str">
        <f>TEXT(Sheet1[[#This Row],[Open Date]],"mmm")</f>
        <v>May</v>
      </c>
    </row>
    <row r="244" spans="1:12" x14ac:dyDescent="0.3">
      <c r="A244" t="s">
        <v>496</v>
      </c>
      <c r="B244" t="s">
        <v>13</v>
      </c>
      <c r="C244" t="s">
        <v>14</v>
      </c>
      <c r="D244" t="s">
        <v>38</v>
      </c>
      <c r="E244" t="s">
        <v>148</v>
      </c>
      <c r="F244" t="s">
        <v>17</v>
      </c>
      <c r="G244" t="s">
        <v>18</v>
      </c>
      <c r="H244" s="1">
        <v>45439</v>
      </c>
      <c r="I244" s="1">
        <v>45439</v>
      </c>
      <c r="J244">
        <f>Sheet1[[#This Row],[Close Date]]-Sheet1[[#This Row],[Open Date]]</f>
        <v>0</v>
      </c>
      <c r="K244" t="str">
        <f>IF(Sheet1[[#This Row],[Actual Days]]&gt;=1,"Not Met","Met")</f>
        <v>Met</v>
      </c>
      <c r="L244" t="str">
        <f>TEXT(Sheet1[[#This Row],[Open Date]],"mmm")</f>
        <v>May</v>
      </c>
    </row>
    <row r="245" spans="1:12" x14ac:dyDescent="0.3">
      <c r="A245" t="s">
        <v>497</v>
      </c>
      <c r="B245" t="s">
        <v>13</v>
      </c>
      <c r="C245" t="s">
        <v>14</v>
      </c>
      <c r="D245" t="s">
        <v>38</v>
      </c>
      <c r="E245" t="s">
        <v>150</v>
      </c>
      <c r="F245" t="s">
        <v>40</v>
      </c>
      <c r="G245" t="s">
        <v>49</v>
      </c>
      <c r="H245" s="1">
        <v>45372</v>
      </c>
      <c r="I245" s="1">
        <v>45372</v>
      </c>
      <c r="J245">
        <f>Sheet1[[#This Row],[Close Date]]-Sheet1[[#This Row],[Open Date]]</f>
        <v>0</v>
      </c>
      <c r="K245" t="str">
        <f>IF(Sheet1[[#This Row],[Actual Days]]&gt;=1,"Not Met","Met")</f>
        <v>Met</v>
      </c>
      <c r="L245" t="str">
        <f>TEXT(Sheet1[[#This Row],[Open Date]],"mmm")</f>
        <v>Mar</v>
      </c>
    </row>
    <row r="246" spans="1:12" x14ac:dyDescent="0.3">
      <c r="A246" t="s">
        <v>498</v>
      </c>
      <c r="B246" t="s">
        <v>42</v>
      </c>
      <c r="C246" t="s">
        <v>104</v>
      </c>
      <c r="D246" t="s">
        <v>87</v>
      </c>
      <c r="E246" t="s">
        <v>152</v>
      </c>
      <c r="F246" t="s">
        <v>40</v>
      </c>
      <c r="G246" t="s">
        <v>34</v>
      </c>
      <c r="H246" s="1">
        <v>45439</v>
      </c>
      <c r="I246" s="1">
        <v>45439</v>
      </c>
      <c r="J246">
        <f>Sheet1[[#This Row],[Close Date]]-Sheet1[[#This Row],[Open Date]]</f>
        <v>0</v>
      </c>
      <c r="K246" t="str">
        <f>IF(Sheet1[[#This Row],[Actual Days]]&gt;=1,"Not Met","Met")</f>
        <v>Met</v>
      </c>
      <c r="L246" t="str">
        <f>TEXT(Sheet1[[#This Row],[Open Date]],"mmm")</f>
        <v>May</v>
      </c>
    </row>
    <row r="247" spans="1:12" x14ac:dyDescent="0.3">
      <c r="A247" t="s">
        <v>499</v>
      </c>
      <c r="B247" t="s">
        <v>42</v>
      </c>
      <c r="C247" t="s">
        <v>43</v>
      </c>
      <c r="D247" t="s">
        <v>32</v>
      </c>
      <c r="E247" t="s">
        <v>154</v>
      </c>
      <c r="F247" t="s">
        <v>40</v>
      </c>
      <c r="G247" t="s">
        <v>34</v>
      </c>
      <c r="H247" s="1">
        <v>45390</v>
      </c>
      <c r="I247" s="1">
        <v>45390</v>
      </c>
      <c r="J247">
        <f>Sheet1[[#This Row],[Close Date]]-Sheet1[[#This Row],[Open Date]]</f>
        <v>0</v>
      </c>
      <c r="K247" t="str">
        <f>IF(Sheet1[[#This Row],[Actual Days]]&gt;=1,"Not Met","Met")</f>
        <v>Met</v>
      </c>
      <c r="L247" t="str">
        <f>TEXT(Sheet1[[#This Row],[Open Date]],"mmm")</f>
        <v>Apr</v>
      </c>
    </row>
    <row r="248" spans="1:12" x14ac:dyDescent="0.3">
      <c r="A248" t="s">
        <v>500</v>
      </c>
      <c r="B248" t="s">
        <v>42</v>
      </c>
      <c r="C248" t="s">
        <v>107</v>
      </c>
      <c r="D248" t="s">
        <v>156</v>
      </c>
      <c r="E248" t="s">
        <v>157</v>
      </c>
      <c r="F248" t="s">
        <v>40</v>
      </c>
      <c r="G248" t="s">
        <v>18</v>
      </c>
      <c r="H248" s="1">
        <v>45292</v>
      </c>
      <c r="I248" s="1">
        <v>45292</v>
      </c>
      <c r="J248">
        <f>Sheet1[[#This Row],[Close Date]]-Sheet1[[#This Row],[Open Date]]</f>
        <v>0</v>
      </c>
      <c r="K248" t="str">
        <f>IF(Sheet1[[#This Row],[Actual Days]]&gt;=1,"Not Met","Met")</f>
        <v>Met</v>
      </c>
      <c r="L248" t="str">
        <f>TEXT(Sheet1[[#This Row],[Open Date]],"mmm")</f>
        <v>Jan</v>
      </c>
    </row>
    <row r="249" spans="1:12" x14ac:dyDescent="0.3">
      <c r="A249" t="s">
        <v>501</v>
      </c>
      <c r="B249" t="s">
        <v>13</v>
      </c>
      <c r="C249" t="s">
        <v>14</v>
      </c>
      <c r="D249" t="s">
        <v>94</v>
      </c>
      <c r="E249" t="s">
        <v>159</v>
      </c>
      <c r="F249" t="s">
        <v>17</v>
      </c>
      <c r="G249" t="s">
        <v>49</v>
      </c>
      <c r="H249" s="1">
        <v>45452</v>
      </c>
      <c r="I249" s="1">
        <v>45452</v>
      </c>
      <c r="J249">
        <f>Sheet1[[#This Row],[Close Date]]-Sheet1[[#This Row],[Open Date]]</f>
        <v>0</v>
      </c>
      <c r="K249" t="str">
        <f>IF(Sheet1[[#This Row],[Actual Days]]&gt;=1,"Not Met","Met")</f>
        <v>Met</v>
      </c>
      <c r="L249" t="str">
        <f>TEXT(Sheet1[[#This Row],[Open Date]],"mmm")</f>
        <v>Jun</v>
      </c>
    </row>
    <row r="250" spans="1:12" x14ac:dyDescent="0.3">
      <c r="A250" t="s">
        <v>502</v>
      </c>
      <c r="B250" t="s">
        <v>30</v>
      </c>
      <c r="C250" t="s">
        <v>161</v>
      </c>
      <c r="D250" t="s">
        <v>24</v>
      </c>
      <c r="E250" t="s">
        <v>162</v>
      </c>
      <c r="F250" t="s">
        <v>17</v>
      </c>
      <c r="G250" t="s">
        <v>45</v>
      </c>
      <c r="H250" s="1">
        <v>45423</v>
      </c>
      <c r="I250" s="1">
        <v>45423</v>
      </c>
      <c r="J250">
        <f>Sheet1[[#This Row],[Close Date]]-Sheet1[[#This Row],[Open Date]]</f>
        <v>0</v>
      </c>
      <c r="K250" t="str">
        <f>IF(Sheet1[[#This Row],[Actual Days]]&gt;=1,"Not Met","Met")</f>
        <v>Met</v>
      </c>
      <c r="L250" t="str">
        <f>TEXT(Sheet1[[#This Row],[Open Date]],"mmm")</f>
        <v>May</v>
      </c>
    </row>
    <row r="251" spans="1:12" x14ac:dyDescent="0.3">
      <c r="A251" t="s">
        <v>503</v>
      </c>
      <c r="B251" t="s">
        <v>13</v>
      </c>
      <c r="C251" t="s">
        <v>14</v>
      </c>
      <c r="D251" t="s">
        <v>73</v>
      </c>
      <c r="E251" t="s">
        <v>164</v>
      </c>
      <c r="F251" t="s">
        <v>17</v>
      </c>
      <c r="G251" t="s">
        <v>18</v>
      </c>
      <c r="H251" s="1">
        <v>45405</v>
      </c>
      <c r="I251" s="1">
        <v>45405</v>
      </c>
      <c r="J251">
        <f>Sheet1[[#This Row],[Close Date]]-Sheet1[[#This Row],[Open Date]]</f>
        <v>0</v>
      </c>
      <c r="K251" t="str">
        <f>IF(Sheet1[[#This Row],[Actual Days]]&gt;=1,"Not Met","Met")</f>
        <v>Met</v>
      </c>
      <c r="L251" t="str">
        <f>TEXT(Sheet1[[#This Row],[Open Date]],"mmm")</f>
        <v>Apr</v>
      </c>
    </row>
    <row r="252" spans="1:12" x14ac:dyDescent="0.3">
      <c r="A252" t="s">
        <v>504</v>
      </c>
      <c r="B252" t="s">
        <v>22</v>
      </c>
      <c r="C252" t="s">
        <v>84</v>
      </c>
      <c r="D252" t="s">
        <v>38</v>
      </c>
      <c r="E252" t="s">
        <v>166</v>
      </c>
      <c r="F252" t="s">
        <v>40</v>
      </c>
      <c r="G252" t="s">
        <v>34</v>
      </c>
      <c r="H252" s="1">
        <v>45423</v>
      </c>
      <c r="I252" s="1">
        <v>45423</v>
      </c>
      <c r="J252">
        <f>Sheet1[[#This Row],[Close Date]]-Sheet1[[#This Row],[Open Date]]</f>
        <v>0</v>
      </c>
      <c r="K252" t="str">
        <f>IF(Sheet1[[#This Row],[Actual Days]]&gt;=1,"Not Met","Met")</f>
        <v>Met</v>
      </c>
      <c r="L252" t="str">
        <f>TEXT(Sheet1[[#This Row],[Open Date]],"mmm")</f>
        <v>May</v>
      </c>
    </row>
    <row r="253" spans="1:12" x14ac:dyDescent="0.3">
      <c r="A253" t="s">
        <v>505</v>
      </c>
      <c r="B253" t="s">
        <v>36</v>
      </c>
      <c r="C253" t="s">
        <v>76</v>
      </c>
      <c r="D253" t="s">
        <v>87</v>
      </c>
      <c r="E253" t="s">
        <v>168</v>
      </c>
      <c r="F253" t="s">
        <v>17</v>
      </c>
      <c r="G253" t="s">
        <v>59</v>
      </c>
      <c r="H253" s="1">
        <v>45304</v>
      </c>
      <c r="I253" s="1">
        <v>45305</v>
      </c>
      <c r="J253">
        <f>Sheet1[[#This Row],[Close Date]]-Sheet1[[#This Row],[Open Date]]</f>
        <v>1</v>
      </c>
      <c r="K253" t="str">
        <f>IF(Sheet1[[#This Row],[Actual Days]]&gt;=1,"Not Met","Met")</f>
        <v>Not Met</v>
      </c>
      <c r="L253" t="str">
        <f>TEXT(Sheet1[[#This Row],[Open Date]],"mmm")</f>
        <v>Jan</v>
      </c>
    </row>
    <row r="254" spans="1:12" x14ac:dyDescent="0.3">
      <c r="A254" t="s">
        <v>506</v>
      </c>
      <c r="B254" t="s">
        <v>36</v>
      </c>
      <c r="C254" t="s">
        <v>76</v>
      </c>
      <c r="D254" t="s">
        <v>73</v>
      </c>
      <c r="E254" t="s">
        <v>170</v>
      </c>
      <c r="F254" t="s">
        <v>26</v>
      </c>
      <c r="G254" t="s">
        <v>49</v>
      </c>
      <c r="H254" s="1">
        <v>45431</v>
      </c>
      <c r="I254" s="1">
        <v>45431</v>
      </c>
      <c r="J254">
        <f>Sheet1[[#This Row],[Close Date]]-Sheet1[[#This Row],[Open Date]]</f>
        <v>0</v>
      </c>
      <c r="K254" t="str">
        <f>IF(Sheet1[[#This Row],[Actual Days]]&gt;=1,"Not Met","Met")</f>
        <v>Met</v>
      </c>
      <c r="L254" t="str">
        <f>TEXT(Sheet1[[#This Row],[Open Date]],"mmm")</f>
        <v>May</v>
      </c>
    </row>
    <row r="255" spans="1:12" x14ac:dyDescent="0.3">
      <c r="A255" t="s">
        <v>507</v>
      </c>
      <c r="B255" t="s">
        <v>13</v>
      </c>
      <c r="C255" t="s">
        <v>65</v>
      </c>
      <c r="D255" t="s">
        <v>94</v>
      </c>
      <c r="E255" t="s">
        <v>172</v>
      </c>
      <c r="F255" t="s">
        <v>17</v>
      </c>
      <c r="G255" t="s">
        <v>49</v>
      </c>
      <c r="H255" s="1">
        <v>45396</v>
      </c>
      <c r="I255" s="1">
        <v>45396</v>
      </c>
      <c r="J255">
        <f>Sheet1[[#This Row],[Close Date]]-Sheet1[[#This Row],[Open Date]]</f>
        <v>0</v>
      </c>
      <c r="K255" t="str">
        <f>IF(Sheet1[[#This Row],[Actual Days]]&gt;=1,"Not Met","Met")</f>
        <v>Met</v>
      </c>
      <c r="L255" t="str">
        <f>TEXT(Sheet1[[#This Row],[Open Date]],"mmm")</f>
        <v>Apr</v>
      </c>
    </row>
    <row r="256" spans="1:12" x14ac:dyDescent="0.3">
      <c r="A256" t="s">
        <v>508</v>
      </c>
      <c r="B256" t="s">
        <v>36</v>
      </c>
      <c r="C256" t="s">
        <v>62</v>
      </c>
      <c r="D256" t="s">
        <v>38</v>
      </c>
      <c r="E256" t="s">
        <v>174</v>
      </c>
      <c r="F256" t="s">
        <v>26</v>
      </c>
      <c r="G256" t="s">
        <v>59</v>
      </c>
      <c r="H256" s="1">
        <v>45389</v>
      </c>
      <c r="I256" s="1">
        <v>45389</v>
      </c>
      <c r="J256">
        <f>Sheet1[[#This Row],[Close Date]]-Sheet1[[#This Row],[Open Date]]</f>
        <v>0</v>
      </c>
      <c r="K256" t="str">
        <f>IF(Sheet1[[#This Row],[Actual Days]]&gt;=1,"Not Met","Met")</f>
        <v>Met</v>
      </c>
      <c r="L256" t="str">
        <f>TEXT(Sheet1[[#This Row],[Open Date]],"mmm")</f>
        <v>Apr</v>
      </c>
    </row>
    <row r="257" spans="1:12" x14ac:dyDescent="0.3">
      <c r="A257" t="s">
        <v>509</v>
      </c>
      <c r="B257" t="s">
        <v>22</v>
      </c>
      <c r="C257" t="s">
        <v>84</v>
      </c>
      <c r="D257" t="s">
        <v>24</v>
      </c>
      <c r="E257" t="s">
        <v>176</v>
      </c>
      <c r="F257" t="s">
        <v>40</v>
      </c>
      <c r="G257" t="s">
        <v>49</v>
      </c>
      <c r="H257" s="1">
        <v>45416</v>
      </c>
      <c r="I257" s="1">
        <v>45416</v>
      </c>
      <c r="J257">
        <f>Sheet1[[#This Row],[Close Date]]-Sheet1[[#This Row],[Open Date]]</f>
        <v>0</v>
      </c>
      <c r="K257" t="str">
        <f>IF(Sheet1[[#This Row],[Actual Days]]&gt;=1,"Not Met","Met")</f>
        <v>Met</v>
      </c>
      <c r="L257" t="str">
        <f>TEXT(Sheet1[[#This Row],[Open Date]],"mmm")</f>
        <v>May</v>
      </c>
    </row>
    <row r="258" spans="1:12" x14ac:dyDescent="0.3">
      <c r="A258" t="s">
        <v>510</v>
      </c>
      <c r="B258" t="s">
        <v>13</v>
      </c>
      <c r="C258" t="s">
        <v>14</v>
      </c>
      <c r="D258" t="s">
        <v>32</v>
      </c>
      <c r="E258" t="s">
        <v>178</v>
      </c>
      <c r="F258" t="s">
        <v>17</v>
      </c>
      <c r="G258" t="s">
        <v>49</v>
      </c>
      <c r="H258" s="1">
        <v>45342</v>
      </c>
      <c r="I258" s="1">
        <v>45342</v>
      </c>
      <c r="J258">
        <f>Sheet1[[#This Row],[Close Date]]-Sheet1[[#This Row],[Open Date]]</f>
        <v>0</v>
      </c>
      <c r="K258" t="str">
        <f>IF(Sheet1[[#This Row],[Actual Days]]&gt;=1,"Not Met","Met")</f>
        <v>Met</v>
      </c>
      <c r="L258" t="str">
        <f>TEXT(Sheet1[[#This Row],[Open Date]],"mmm")</f>
        <v>Feb</v>
      </c>
    </row>
    <row r="259" spans="1:12" x14ac:dyDescent="0.3">
      <c r="A259" t="s">
        <v>511</v>
      </c>
      <c r="B259" t="s">
        <v>30</v>
      </c>
      <c r="C259" t="s">
        <v>51</v>
      </c>
      <c r="D259" t="s">
        <v>38</v>
      </c>
      <c r="E259" t="s">
        <v>180</v>
      </c>
      <c r="F259" t="s">
        <v>40</v>
      </c>
      <c r="G259" t="s">
        <v>34</v>
      </c>
      <c r="H259" s="1">
        <v>45430</v>
      </c>
      <c r="I259" s="1">
        <v>45430</v>
      </c>
      <c r="J259">
        <f>Sheet1[[#This Row],[Close Date]]-Sheet1[[#This Row],[Open Date]]</f>
        <v>0</v>
      </c>
      <c r="K259" t="str">
        <f>IF(Sheet1[[#This Row],[Actual Days]]&gt;=1,"Not Met","Met")</f>
        <v>Met</v>
      </c>
      <c r="L259" t="str">
        <f>TEXT(Sheet1[[#This Row],[Open Date]],"mmm")</f>
        <v>May</v>
      </c>
    </row>
    <row r="260" spans="1:12" x14ac:dyDescent="0.3">
      <c r="A260" t="s">
        <v>512</v>
      </c>
      <c r="B260" t="s">
        <v>13</v>
      </c>
      <c r="C260" t="s">
        <v>65</v>
      </c>
      <c r="D260" t="s">
        <v>87</v>
      </c>
      <c r="E260" t="s">
        <v>182</v>
      </c>
      <c r="F260" t="s">
        <v>26</v>
      </c>
      <c r="G260" t="s">
        <v>59</v>
      </c>
      <c r="H260" s="1">
        <v>45390</v>
      </c>
      <c r="I260" s="1">
        <v>45390</v>
      </c>
      <c r="J260">
        <f>Sheet1[[#This Row],[Close Date]]-Sheet1[[#This Row],[Open Date]]</f>
        <v>0</v>
      </c>
      <c r="K260" t="str">
        <f>IF(Sheet1[[#This Row],[Actual Days]]&gt;=1,"Not Met","Met")</f>
        <v>Met</v>
      </c>
      <c r="L260" t="str">
        <f>TEXT(Sheet1[[#This Row],[Open Date]],"mmm")</f>
        <v>Apr</v>
      </c>
    </row>
    <row r="261" spans="1:12" x14ac:dyDescent="0.3">
      <c r="A261" t="s">
        <v>513</v>
      </c>
      <c r="B261" t="s">
        <v>13</v>
      </c>
      <c r="C261" t="s">
        <v>68</v>
      </c>
      <c r="D261" t="s">
        <v>156</v>
      </c>
      <c r="E261" t="s">
        <v>184</v>
      </c>
      <c r="F261" t="s">
        <v>26</v>
      </c>
      <c r="G261" t="s">
        <v>49</v>
      </c>
      <c r="H261" s="1">
        <v>45352</v>
      </c>
      <c r="I261" s="1">
        <v>45352</v>
      </c>
      <c r="J261">
        <f>Sheet1[[#This Row],[Close Date]]-Sheet1[[#This Row],[Open Date]]</f>
        <v>0</v>
      </c>
      <c r="K261" t="str">
        <f>IF(Sheet1[[#This Row],[Actual Days]]&gt;=1,"Not Met","Met")</f>
        <v>Met</v>
      </c>
      <c r="L261" t="str">
        <f>TEXT(Sheet1[[#This Row],[Open Date]],"mmm")</f>
        <v>Mar</v>
      </c>
    </row>
    <row r="262" spans="1:12" x14ac:dyDescent="0.3">
      <c r="A262" t="s">
        <v>514</v>
      </c>
      <c r="B262" t="s">
        <v>30</v>
      </c>
      <c r="C262" t="s">
        <v>51</v>
      </c>
      <c r="D262" t="s">
        <v>38</v>
      </c>
      <c r="E262" t="s">
        <v>186</v>
      </c>
      <c r="F262" t="s">
        <v>40</v>
      </c>
      <c r="G262" t="s">
        <v>18</v>
      </c>
      <c r="H262" s="1">
        <v>45421</v>
      </c>
      <c r="I262" s="1">
        <v>45421</v>
      </c>
      <c r="J262">
        <f>Sheet1[[#This Row],[Close Date]]-Sheet1[[#This Row],[Open Date]]</f>
        <v>0</v>
      </c>
      <c r="K262" t="str">
        <f>IF(Sheet1[[#This Row],[Actual Days]]&gt;=1,"Not Met","Met")</f>
        <v>Met</v>
      </c>
      <c r="L262" t="str">
        <f>TEXT(Sheet1[[#This Row],[Open Date]],"mmm")</f>
        <v>May</v>
      </c>
    </row>
    <row r="263" spans="1:12" x14ac:dyDescent="0.3">
      <c r="A263" t="s">
        <v>515</v>
      </c>
      <c r="B263" t="s">
        <v>30</v>
      </c>
      <c r="C263" t="s">
        <v>161</v>
      </c>
      <c r="D263" t="s">
        <v>32</v>
      </c>
      <c r="E263" t="s">
        <v>188</v>
      </c>
      <c r="F263" t="s">
        <v>40</v>
      </c>
      <c r="G263" t="s">
        <v>18</v>
      </c>
      <c r="H263" s="1">
        <v>45309</v>
      </c>
      <c r="I263" s="1">
        <v>45309</v>
      </c>
      <c r="J263">
        <f>Sheet1[[#This Row],[Close Date]]-Sheet1[[#This Row],[Open Date]]</f>
        <v>0</v>
      </c>
      <c r="K263" t="str">
        <f>IF(Sheet1[[#This Row],[Actual Days]]&gt;=1,"Not Met","Met")</f>
        <v>Met</v>
      </c>
      <c r="L263" t="str">
        <f>TEXT(Sheet1[[#This Row],[Open Date]],"mmm")</f>
        <v>Jan</v>
      </c>
    </row>
    <row r="264" spans="1:12" x14ac:dyDescent="0.3">
      <c r="A264" t="s">
        <v>516</v>
      </c>
      <c r="B264" t="s">
        <v>13</v>
      </c>
      <c r="C264" t="s">
        <v>65</v>
      </c>
      <c r="D264" t="s">
        <v>73</v>
      </c>
      <c r="E264" t="s">
        <v>190</v>
      </c>
      <c r="F264" t="s">
        <v>17</v>
      </c>
      <c r="G264" t="s">
        <v>18</v>
      </c>
      <c r="H264" s="1">
        <v>45439</v>
      </c>
      <c r="I264" s="1">
        <v>45439</v>
      </c>
      <c r="J264">
        <f>Sheet1[[#This Row],[Close Date]]-Sheet1[[#This Row],[Open Date]]</f>
        <v>0</v>
      </c>
      <c r="K264" t="str">
        <f>IF(Sheet1[[#This Row],[Actual Days]]&gt;=1,"Not Met","Met")</f>
        <v>Met</v>
      </c>
      <c r="L264" t="str">
        <f>TEXT(Sheet1[[#This Row],[Open Date]],"mmm")</f>
        <v>May</v>
      </c>
    </row>
    <row r="265" spans="1:12" x14ac:dyDescent="0.3">
      <c r="A265" t="s">
        <v>517</v>
      </c>
      <c r="B265" t="s">
        <v>30</v>
      </c>
      <c r="C265" t="s">
        <v>31</v>
      </c>
      <c r="D265" t="s">
        <v>24</v>
      </c>
      <c r="E265" t="s">
        <v>192</v>
      </c>
      <c r="F265" t="s">
        <v>26</v>
      </c>
      <c r="G265" t="s">
        <v>27</v>
      </c>
      <c r="H265" s="1">
        <v>45406</v>
      </c>
      <c r="I265" s="1">
        <v>45406</v>
      </c>
      <c r="J265">
        <f>Sheet1[[#This Row],[Close Date]]-Sheet1[[#This Row],[Open Date]]</f>
        <v>0</v>
      </c>
      <c r="K265" t="str">
        <f>IF(Sheet1[[#This Row],[Actual Days]]&gt;=1,"Not Met","Met")</f>
        <v>Met</v>
      </c>
      <c r="L265" t="str">
        <f>TEXT(Sheet1[[#This Row],[Open Date]],"mmm")</f>
        <v>Apr</v>
      </c>
    </row>
    <row r="266" spans="1:12" x14ac:dyDescent="0.3">
      <c r="A266" t="s">
        <v>518</v>
      </c>
      <c r="B266" t="s">
        <v>13</v>
      </c>
      <c r="C266" t="s">
        <v>14</v>
      </c>
      <c r="D266" t="s">
        <v>73</v>
      </c>
      <c r="E266" t="s">
        <v>194</v>
      </c>
      <c r="F266" t="s">
        <v>26</v>
      </c>
      <c r="G266" t="s">
        <v>34</v>
      </c>
      <c r="H266" s="1">
        <v>45294</v>
      </c>
      <c r="I266" s="1">
        <v>45294</v>
      </c>
      <c r="J266">
        <f>Sheet1[[#This Row],[Close Date]]-Sheet1[[#This Row],[Open Date]]</f>
        <v>0</v>
      </c>
      <c r="K266" t="str">
        <f>IF(Sheet1[[#This Row],[Actual Days]]&gt;=1,"Not Met","Met")</f>
        <v>Met</v>
      </c>
      <c r="L266" t="str">
        <f>TEXT(Sheet1[[#This Row],[Open Date]],"mmm")</f>
        <v>Jan</v>
      </c>
    </row>
    <row r="267" spans="1:12" x14ac:dyDescent="0.3">
      <c r="A267" t="s">
        <v>519</v>
      </c>
      <c r="B267" t="s">
        <v>30</v>
      </c>
      <c r="C267" t="s">
        <v>161</v>
      </c>
      <c r="D267" t="s">
        <v>15</v>
      </c>
      <c r="E267" t="s">
        <v>196</v>
      </c>
      <c r="F267" t="s">
        <v>17</v>
      </c>
      <c r="G267" t="s">
        <v>45</v>
      </c>
      <c r="H267" s="1">
        <v>45408</v>
      </c>
      <c r="I267" s="1">
        <v>45408</v>
      </c>
      <c r="J267">
        <f>Sheet1[[#This Row],[Close Date]]-Sheet1[[#This Row],[Open Date]]</f>
        <v>0</v>
      </c>
      <c r="K267" t="str">
        <f>IF(Sheet1[[#This Row],[Actual Days]]&gt;=1,"Not Met","Met")</f>
        <v>Met</v>
      </c>
      <c r="L267" t="str">
        <f>TEXT(Sheet1[[#This Row],[Open Date]],"mmm")</f>
        <v>Apr</v>
      </c>
    </row>
    <row r="268" spans="1:12" x14ac:dyDescent="0.3">
      <c r="A268" t="s">
        <v>520</v>
      </c>
      <c r="B268" t="s">
        <v>22</v>
      </c>
      <c r="C268" t="s">
        <v>101</v>
      </c>
      <c r="D268" t="s">
        <v>24</v>
      </c>
      <c r="E268" t="s">
        <v>198</v>
      </c>
      <c r="F268" t="s">
        <v>40</v>
      </c>
      <c r="G268" t="s">
        <v>27</v>
      </c>
      <c r="H268" s="1">
        <v>45345</v>
      </c>
      <c r="I268" s="1">
        <v>45345</v>
      </c>
      <c r="J268">
        <f>Sheet1[[#This Row],[Close Date]]-Sheet1[[#This Row],[Open Date]]</f>
        <v>0</v>
      </c>
      <c r="K268" t="str">
        <f>IF(Sheet1[[#This Row],[Actual Days]]&gt;=1,"Not Met","Met")</f>
        <v>Met</v>
      </c>
      <c r="L268" t="str">
        <f>TEXT(Sheet1[[#This Row],[Open Date]],"mmm")</f>
        <v>Feb</v>
      </c>
    </row>
    <row r="269" spans="1:12" x14ac:dyDescent="0.3">
      <c r="A269" t="s">
        <v>521</v>
      </c>
      <c r="B269" t="s">
        <v>30</v>
      </c>
      <c r="C269" t="s">
        <v>161</v>
      </c>
      <c r="D269" t="s">
        <v>24</v>
      </c>
      <c r="E269" t="s">
        <v>200</v>
      </c>
      <c r="F269" t="s">
        <v>17</v>
      </c>
      <c r="G269" t="s">
        <v>34</v>
      </c>
      <c r="H269" s="1">
        <v>45397</v>
      </c>
      <c r="I269" s="1">
        <v>45397</v>
      </c>
      <c r="J269">
        <f>Sheet1[[#This Row],[Close Date]]-Sheet1[[#This Row],[Open Date]]</f>
        <v>0</v>
      </c>
      <c r="K269" t="str">
        <f>IF(Sheet1[[#This Row],[Actual Days]]&gt;=1,"Not Met","Met")</f>
        <v>Met</v>
      </c>
      <c r="L269" t="str">
        <f>TEXT(Sheet1[[#This Row],[Open Date]],"mmm")</f>
        <v>Apr</v>
      </c>
    </row>
    <row r="270" spans="1:12" x14ac:dyDescent="0.3">
      <c r="A270" t="s">
        <v>522</v>
      </c>
      <c r="B270" t="s">
        <v>22</v>
      </c>
      <c r="C270" t="s">
        <v>84</v>
      </c>
      <c r="D270" t="s">
        <v>94</v>
      </c>
      <c r="E270" t="s">
        <v>202</v>
      </c>
      <c r="F270" t="s">
        <v>17</v>
      </c>
      <c r="G270" t="s">
        <v>45</v>
      </c>
      <c r="H270" s="1">
        <v>45386</v>
      </c>
      <c r="I270" s="1">
        <v>45386</v>
      </c>
      <c r="J270">
        <f>Sheet1[[#This Row],[Close Date]]-Sheet1[[#This Row],[Open Date]]</f>
        <v>0</v>
      </c>
      <c r="K270" t="str">
        <f>IF(Sheet1[[#This Row],[Actual Days]]&gt;=1,"Not Met","Met")</f>
        <v>Met</v>
      </c>
      <c r="L270" t="str">
        <f>TEXT(Sheet1[[#This Row],[Open Date]],"mmm")</f>
        <v>Apr</v>
      </c>
    </row>
    <row r="271" spans="1:12" x14ac:dyDescent="0.3">
      <c r="A271" t="s">
        <v>523</v>
      </c>
      <c r="B271" t="s">
        <v>22</v>
      </c>
      <c r="C271" t="s">
        <v>101</v>
      </c>
      <c r="D271" t="s">
        <v>15</v>
      </c>
      <c r="E271" t="s">
        <v>204</v>
      </c>
      <c r="F271" t="s">
        <v>26</v>
      </c>
      <c r="G271" t="s">
        <v>45</v>
      </c>
      <c r="H271" s="1">
        <v>45437</v>
      </c>
      <c r="I271" s="1">
        <v>45437</v>
      </c>
      <c r="J271">
        <f>Sheet1[[#This Row],[Close Date]]-Sheet1[[#This Row],[Open Date]]</f>
        <v>0</v>
      </c>
      <c r="K271" t="str">
        <f>IF(Sheet1[[#This Row],[Actual Days]]&gt;=1,"Not Met","Met")</f>
        <v>Met</v>
      </c>
      <c r="L271" t="str">
        <f>TEXT(Sheet1[[#This Row],[Open Date]],"mmm")</f>
        <v>May</v>
      </c>
    </row>
    <row r="272" spans="1:12" x14ac:dyDescent="0.3">
      <c r="A272" t="s">
        <v>524</v>
      </c>
      <c r="B272" t="s">
        <v>22</v>
      </c>
      <c r="C272" t="s">
        <v>101</v>
      </c>
      <c r="D272" t="s">
        <v>24</v>
      </c>
      <c r="E272" t="s">
        <v>206</v>
      </c>
      <c r="F272" t="s">
        <v>26</v>
      </c>
      <c r="G272" t="s">
        <v>45</v>
      </c>
      <c r="H272" s="1">
        <v>45388</v>
      </c>
      <c r="I272" s="1">
        <v>45388</v>
      </c>
      <c r="J272">
        <f>Sheet1[[#This Row],[Close Date]]-Sheet1[[#This Row],[Open Date]]</f>
        <v>0</v>
      </c>
      <c r="K272" t="str">
        <f>IF(Sheet1[[#This Row],[Actual Days]]&gt;=1,"Not Met","Met")</f>
        <v>Met</v>
      </c>
      <c r="L272" t="str">
        <f>TEXT(Sheet1[[#This Row],[Open Date]],"mmm")</f>
        <v>Apr</v>
      </c>
    </row>
    <row r="273" spans="1:12" x14ac:dyDescent="0.3">
      <c r="A273" t="s">
        <v>525</v>
      </c>
      <c r="B273" t="s">
        <v>13</v>
      </c>
      <c r="C273" t="s">
        <v>65</v>
      </c>
      <c r="D273" t="s">
        <v>94</v>
      </c>
      <c r="E273" t="s">
        <v>208</v>
      </c>
      <c r="F273" t="s">
        <v>26</v>
      </c>
      <c r="G273" t="s">
        <v>27</v>
      </c>
      <c r="H273" s="1">
        <v>45371</v>
      </c>
      <c r="I273" s="1">
        <v>45371</v>
      </c>
      <c r="J273">
        <f>Sheet1[[#This Row],[Close Date]]-Sheet1[[#This Row],[Open Date]]</f>
        <v>0</v>
      </c>
      <c r="K273" t="str">
        <f>IF(Sheet1[[#This Row],[Actual Days]]&gt;=1,"Not Met","Met")</f>
        <v>Met</v>
      </c>
      <c r="L273" t="str">
        <f>TEXT(Sheet1[[#This Row],[Open Date]],"mmm")</f>
        <v>Mar</v>
      </c>
    </row>
    <row r="274" spans="1:12" x14ac:dyDescent="0.3">
      <c r="A274" t="s">
        <v>526</v>
      </c>
      <c r="B274" t="s">
        <v>22</v>
      </c>
      <c r="C274" t="s">
        <v>84</v>
      </c>
      <c r="D274" t="s">
        <v>24</v>
      </c>
      <c r="E274" t="s">
        <v>210</v>
      </c>
      <c r="F274" t="s">
        <v>26</v>
      </c>
      <c r="G274" t="s">
        <v>34</v>
      </c>
      <c r="H274" s="1">
        <v>45360</v>
      </c>
      <c r="I274" s="1">
        <v>45360</v>
      </c>
      <c r="J274">
        <f>Sheet1[[#This Row],[Close Date]]-Sheet1[[#This Row],[Open Date]]</f>
        <v>0</v>
      </c>
      <c r="K274" t="str">
        <f>IF(Sheet1[[#This Row],[Actual Days]]&gt;=1,"Not Met","Met")</f>
        <v>Met</v>
      </c>
      <c r="L274" t="str">
        <f>TEXT(Sheet1[[#This Row],[Open Date]],"mmm")</f>
        <v>Mar</v>
      </c>
    </row>
    <row r="275" spans="1:12" x14ac:dyDescent="0.3">
      <c r="A275" t="s">
        <v>527</v>
      </c>
      <c r="B275" t="s">
        <v>13</v>
      </c>
      <c r="C275" t="s">
        <v>68</v>
      </c>
      <c r="D275" t="s">
        <v>32</v>
      </c>
      <c r="E275" t="s">
        <v>212</v>
      </c>
      <c r="F275" t="s">
        <v>17</v>
      </c>
      <c r="G275" t="s">
        <v>45</v>
      </c>
      <c r="H275" s="1">
        <v>45434</v>
      </c>
      <c r="I275" s="1">
        <v>45434</v>
      </c>
      <c r="J275">
        <f>Sheet1[[#This Row],[Close Date]]-Sheet1[[#This Row],[Open Date]]</f>
        <v>0</v>
      </c>
      <c r="K275" t="str">
        <f>IF(Sheet1[[#This Row],[Actual Days]]&gt;=1,"Not Met","Met")</f>
        <v>Met</v>
      </c>
      <c r="L275" t="str">
        <f>TEXT(Sheet1[[#This Row],[Open Date]],"mmm")</f>
        <v>May</v>
      </c>
    </row>
    <row r="276" spans="1:12" x14ac:dyDescent="0.3">
      <c r="A276" t="s">
        <v>528</v>
      </c>
      <c r="B276" t="s">
        <v>30</v>
      </c>
      <c r="C276" t="s">
        <v>31</v>
      </c>
      <c r="D276" t="s">
        <v>94</v>
      </c>
      <c r="E276" t="s">
        <v>214</v>
      </c>
      <c r="F276" t="s">
        <v>17</v>
      </c>
      <c r="G276" t="s">
        <v>34</v>
      </c>
      <c r="H276" s="1">
        <v>45416</v>
      </c>
      <c r="I276" s="1">
        <v>45416</v>
      </c>
      <c r="J276">
        <f>Sheet1[[#This Row],[Close Date]]-Sheet1[[#This Row],[Open Date]]</f>
        <v>0</v>
      </c>
      <c r="K276" t="str">
        <f>IF(Sheet1[[#This Row],[Actual Days]]&gt;=1,"Not Met","Met")</f>
        <v>Met</v>
      </c>
      <c r="L276" t="str">
        <f>TEXT(Sheet1[[#This Row],[Open Date]],"mmm")</f>
        <v>May</v>
      </c>
    </row>
    <row r="277" spans="1:12" x14ac:dyDescent="0.3">
      <c r="A277" t="s">
        <v>529</v>
      </c>
      <c r="B277" t="s">
        <v>42</v>
      </c>
      <c r="C277" t="s">
        <v>104</v>
      </c>
      <c r="D277" t="s">
        <v>94</v>
      </c>
      <c r="E277" t="s">
        <v>216</v>
      </c>
      <c r="F277" t="s">
        <v>40</v>
      </c>
      <c r="G277" t="s">
        <v>49</v>
      </c>
      <c r="H277" s="1">
        <v>45336</v>
      </c>
      <c r="I277" s="1">
        <v>45336</v>
      </c>
      <c r="J277">
        <f>Sheet1[[#This Row],[Close Date]]-Sheet1[[#This Row],[Open Date]]</f>
        <v>0</v>
      </c>
      <c r="K277" t="str">
        <f>IF(Sheet1[[#This Row],[Actual Days]]&gt;=1,"Not Met","Met")</f>
        <v>Met</v>
      </c>
      <c r="L277" t="str">
        <f>TEXT(Sheet1[[#This Row],[Open Date]],"mmm")</f>
        <v>Feb</v>
      </c>
    </row>
    <row r="278" spans="1:12" x14ac:dyDescent="0.3">
      <c r="A278" t="s">
        <v>530</v>
      </c>
      <c r="B278" t="s">
        <v>30</v>
      </c>
      <c r="C278" t="s">
        <v>161</v>
      </c>
      <c r="D278" t="s">
        <v>73</v>
      </c>
      <c r="E278" t="s">
        <v>218</v>
      </c>
      <c r="F278" t="s">
        <v>17</v>
      </c>
      <c r="G278" t="s">
        <v>45</v>
      </c>
      <c r="H278" s="1">
        <v>45356</v>
      </c>
      <c r="I278" s="1">
        <v>45356</v>
      </c>
      <c r="J278">
        <f>Sheet1[[#This Row],[Close Date]]-Sheet1[[#This Row],[Open Date]]</f>
        <v>0</v>
      </c>
      <c r="K278" t="str">
        <f>IF(Sheet1[[#This Row],[Actual Days]]&gt;=1,"Not Met","Met")</f>
        <v>Met</v>
      </c>
      <c r="L278" t="str">
        <f>TEXT(Sheet1[[#This Row],[Open Date]],"mmm")</f>
        <v>Mar</v>
      </c>
    </row>
    <row r="279" spans="1:12" x14ac:dyDescent="0.3">
      <c r="A279" t="s">
        <v>531</v>
      </c>
      <c r="B279" t="s">
        <v>13</v>
      </c>
      <c r="C279" t="s">
        <v>14</v>
      </c>
      <c r="D279" t="s">
        <v>38</v>
      </c>
      <c r="E279" t="s">
        <v>220</v>
      </c>
      <c r="F279" t="s">
        <v>17</v>
      </c>
      <c r="G279" t="s">
        <v>34</v>
      </c>
      <c r="H279" s="1">
        <v>45409</v>
      </c>
      <c r="I279" s="1">
        <v>45409</v>
      </c>
      <c r="J279">
        <f>Sheet1[[#This Row],[Close Date]]-Sheet1[[#This Row],[Open Date]]</f>
        <v>0</v>
      </c>
      <c r="K279" t="str">
        <f>IF(Sheet1[[#This Row],[Actual Days]]&gt;=1,"Not Met","Met")</f>
        <v>Met</v>
      </c>
      <c r="L279" t="str">
        <f>TEXT(Sheet1[[#This Row],[Open Date]],"mmm")</f>
        <v>Apr</v>
      </c>
    </row>
    <row r="280" spans="1:12" x14ac:dyDescent="0.3">
      <c r="A280" t="s">
        <v>532</v>
      </c>
      <c r="B280" t="s">
        <v>36</v>
      </c>
      <c r="C280" t="s">
        <v>37</v>
      </c>
      <c r="D280" t="s">
        <v>156</v>
      </c>
      <c r="E280" t="s">
        <v>222</v>
      </c>
      <c r="F280" t="s">
        <v>40</v>
      </c>
      <c r="G280" t="s">
        <v>18</v>
      </c>
      <c r="H280" s="1">
        <v>45396</v>
      </c>
      <c r="I280" s="1">
        <v>45396</v>
      </c>
      <c r="J280">
        <f>Sheet1[[#This Row],[Close Date]]-Sheet1[[#This Row],[Open Date]]</f>
        <v>0</v>
      </c>
      <c r="K280" t="str">
        <f>IF(Sheet1[[#This Row],[Actual Days]]&gt;=1,"Not Met","Met")</f>
        <v>Met</v>
      </c>
      <c r="L280" t="str">
        <f>TEXT(Sheet1[[#This Row],[Open Date]],"mmm")</f>
        <v>Apr</v>
      </c>
    </row>
    <row r="281" spans="1:12" x14ac:dyDescent="0.3">
      <c r="A281" t="s">
        <v>533</v>
      </c>
      <c r="B281" t="s">
        <v>36</v>
      </c>
      <c r="C281" t="s">
        <v>37</v>
      </c>
      <c r="D281" t="s">
        <v>87</v>
      </c>
      <c r="E281" t="s">
        <v>224</v>
      </c>
      <c r="F281" t="s">
        <v>17</v>
      </c>
      <c r="G281" t="s">
        <v>49</v>
      </c>
      <c r="H281" s="1">
        <v>45339</v>
      </c>
      <c r="I281" s="1">
        <v>45339</v>
      </c>
      <c r="J281">
        <f>Sheet1[[#This Row],[Close Date]]-Sheet1[[#This Row],[Open Date]]</f>
        <v>0</v>
      </c>
      <c r="K281" t="str">
        <f>IF(Sheet1[[#This Row],[Actual Days]]&gt;=1,"Not Met","Met")</f>
        <v>Met</v>
      </c>
      <c r="L281" t="str">
        <f>TEXT(Sheet1[[#This Row],[Open Date]],"mmm")</f>
        <v>Feb</v>
      </c>
    </row>
    <row r="282" spans="1:12" x14ac:dyDescent="0.3">
      <c r="A282" t="s">
        <v>534</v>
      </c>
      <c r="B282" t="s">
        <v>30</v>
      </c>
      <c r="C282" t="s">
        <v>51</v>
      </c>
      <c r="D282" t="s">
        <v>73</v>
      </c>
      <c r="E282" t="s">
        <v>226</v>
      </c>
      <c r="F282" t="s">
        <v>17</v>
      </c>
      <c r="G282" t="s">
        <v>34</v>
      </c>
      <c r="H282" s="1">
        <v>45377</v>
      </c>
      <c r="I282" s="1">
        <v>45377</v>
      </c>
      <c r="J282">
        <f>Sheet1[[#This Row],[Close Date]]-Sheet1[[#This Row],[Open Date]]</f>
        <v>0</v>
      </c>
      <c r="K282" t="str">
        <f>IF(Sheet1[[#This Row],[Actual Days]]&gt;=1,"Not Met","Met")</f>
        <v>Met</v>
      </c>
      <c r="L282" t="str">
        <f>TEXT(Sheet1[[#This Row],[Open Date]],"mmm")</f>
        <v>Mar</v>
      </c>
    </row>
    <row r="283" spans="1:12" x14ac:dyDescent="0.3">
      <c r="A283" t="s">
        <v>535</v>
      </c>
      <c r="B283" t="s">
        <v>13</v>
      </c>
      <c r="C283" t="s">
        <v>68</v>
      </c>
      <c r="D283" t="s">
        <v>38</v>
      </c>
      <c r="E283" t="s">
        <v>228</v>
      </c>
      <c r="F283" t="s">
        <v>26</v>
      </c>
      <c r="G283" t="s">
        <v>18</v>
      </c>
      <c r="H283" s="1">
        <v>45438</v>
      </c>
      <c r="I283" s="1">
        <v>45438</v>
      </c>
      <c r="J283">
        <f>Sheet1[[#This Row],[Close Date]]-Sheet1[[#This Row],[Open Date]]</f>
        <v>0</v>
      </c>
      <c r="K283" t="str">
        <f>IF(Sheet1[[#This Row],[Actual Days]]&gt;=1,"Not Met","Met")</f>
        <v>Met</v>
      </c>
      <c r="L283" t="str">
        <f>TEXT(Sheet1[[#This Row],[Open Date]],"mmm")</f>
        <v>May</v>
      </c>
    </row>
    <row r="284" spans="1:12" x14ac:dyDescent="0.3">
      <c r="A284" t="s">
        <v>536</v>
      </c>
      <c r="B284" t="s">
        <v>30</v>
      </c>
      <c r="C284" t="s">
        <v>161</v>
      </c>
      <c r="D284" t="s">
        <v>38</v>
      </c>
      <c r="E284" t="s">
        <v>230</v>
      </c>
      <c r="F284" t="s">
        <v>26</v>
      </c>
      <c r="G284" t="s">
        <v>27</v>
      </c>
      <c r="H284" s="1">
        <v>45409</v>
      </c>
      <c r="I284" s="1">
        <v>45409</v>
      </c>
      <c r="J284">
        <f>Sheet1[[#This Row],[Close Date]]-Sheet1[[#This Row],[Open Date]]</f>
        <v>0</v>
      </c>
      <c r="K284" t="str">
        <f>IF(Sheet1[[#This Row],[Actual Days]]&gt;=1,"Not Met","Met")</f>
        <v>Met</v>
      </c>
      <c r="L284" t="str">
        <f>TEXT(Sheet1[[#This Row],[Open Date]],"mmm")</f>
        <v>Apr</v>
      </c>
    </row>
    <row r="285" spans="1:12" x14ac:dyDescent="0.3">
      <c r="A285" t="s">
        <v>537</v>
      </c>
      <c r="B285" t="s">
        <v>36</v>
      </c>
      <c r="C285" t="s">
        <v>76</v>
      </c>
      <c r="D285" t="s">
        <v>156</v>
      </c>
      <c r="E285" t="s">
        <v>232</v>
      </c>
      <c r="F285" t="s">
        <v>40</v>
      </c>
      <c r="G285" t="s">
        <v>49</v>
      </c>
      <c r="H285" s="1">
        <v>45421</v>
      </c>
      <c r="I285" s="1">
        <v>45421</v>
      </c>
      <c r="J285">
        <f>Sheet1[[#This Row],[Close Date]]-Sheet1[[#This Row],[Open Date]]</f>
        <v>0</v>
      </c>
      <c r="K285" t="str">
        <f>IF(Sheet1[[#This Row],[Actual Days]]&gt;=1,"Not Met","Met")</f>
        <v>Met</v>
      </c>
      <c r="L285" t="str">
        <f>TEXT(Sheet1[[#This Row],[Open Date]],"mmm")</f>
        <v>May</v>
      </c>
    </row>
    <row r="286" spans="1:12" x14ac:dyDescent="0.3">
      <c r="A286" t="s">
        <v>538</v>
      </c>
      <c r="B286" t="s">
        <v>13</v>
      </c>
      <c r="C286" t="s">
        <v>14</v>
      </c>
      <c r="D286" t="s">
        <v>94</v>
      </c>
      <c r="E286" t="s">
        <v>234</v>
      </c>
      <c r="F286" t="s">
        <v>26</v>
      </c>
      <c r="G286" t="s">
        <v>45</v>
      </c>
      <c r="H286" s="1">
        <v>45358</v>
      </c>
      <c r="I286" s="1">
        <v>45358</v>
      </c>
      <c r="J286">
        <f>Sheet1[[#This Row],[Close Date]]-Sheet1[[#This Row],[Open Date]]</f>
        <v>0</v>
      </c>
      <c r="K286" t="str">
        <f>IF(Sheet1[[#This Row],[Actual Days]]&gt;=1,"Not Met","Met")</f>
        <v>Met</v>
      </c>
      <c r="L286" t="str">
        <f>TEXT(Sheet1[[#This Row],[Open Date]],"mmm")</f>
        <v>Mar</v>
      </c>
    </row>
    <row r="287" spans="1:12" x14ac:dyDescent="0.3">
      <c r="A287" t="s">
        <v>539</v>
      </c>
      <c r="B287" t="s">
        <v>13</v>
      </c>
      <c r="C287" t="s">
        <v>68</v>
      </c>
      <c r="D287" t="s">
        <v>94</v>
      </c>
      <c r="E287" t="s">
        <v>236</v>
      </c>
      <c r="F287" t="s">
        <v>17</v>
      </c>
      <c r="G287" t="s">
        <v>45</v>
      </c>
      <c r="H287" s="1">
        <v>45401</v>
      </c>
      <c r="I287" s="1">
        <v>45401</v>
      </c>
      <c r="J287">
        <f>Sheet1[[#This Row],[Close Date]]-Sheet1[[#This Row],[Open Date]]</f>
        <v>0</v>
      </c>
      <c r="K287" t="str">
        <f>IF(Sheet1[[#This Row],[Actual Days]]&gt;=1,"Not Met","Met")</f>
        <v>Met</v>
      </c>
      <c r="L287" t="str">
        <f>TEXT(Sheet1[[#This Row],[Open Date]],"mmm")</f>
        <v>Apr</v>
      </c>
    </row>
    <row r="288" spans="1:12" x14ac:dyDescent="0.3">
      <c r="A288" t="s">
        <v>540</v>
      </c>
      <c r="B288" t="s">
        <v>42</v>
      </c>
      <c r="C288" t="s">
        <v>43</v>
      </c>
      <c r="D288" t="s">
        <v>156</v>
      </c>
      <c r="E288" t="s">
        <v>238</v>
      </c>
      <c r="F288" t="s">
        <v>26</v>
      </c>
      <c r="G288" t="s">
        <v>59</v>
      </c>
      <c r="H288" s="1">
        <v>45320</v>
      </c>
      <c r="I288" s="1">
        <v>45320</v>
      </c>
      <c r="J288">
        <f>Sheet1[[#This Row],[Close Date]]-Sheet1[[#This Row],[Open Date]]</f>
        <v>0</v>
      </c>
      <c r="K288" t="str">
        <f>IF(Sheet1[[#This Row],[Actual Days]]&gt;=1,"Not Met","Met")</f>
        <v>Met</v>
      </c>
      <c r="L288" t="str">
        <f>TEXT(Sheet1[[#This Row],[Open Date]],"mmm")</f>
        <v>Jan</v>
      </c>
    </row>
    <row r="289" spans="1:12" x14ac:dyDescent="0.3">
      <c r="A289" t="s">
        <v>541</v>
      </c>
      <c r="B289" t="s">
        <v>13</v>
      </c>
      <c r="C289" t="s">
        <v>14</v>
      </c>
      <c r="D289" t="s">
        <v>73</v>
      </c>
      <c r="E289" t="s">
        <v>240</v>
      </c>
      <c r="F289" t="s">
        <v>26</v>
      </c>
      <c r="G289" t="s">
        <v>49</v>
      </c>
      <c r="H289" s="1">
        <v>45366</v>
      </c>
      <c r="I289" s="1">
        <v>45366</v>
      </c>
      <c r="J289">
        <f>Sheet1[[#This Row],[Close Date]]-Sheet1[[#This Row],[Open Date]]</f>
        <v>0</v>
      </c>
      <c r="K289" t="str">
        <f>IF(Sheet1[[#This Row],[Actual Days]]&gt;=1,"Not Met","Met")</f>
        <v>Met</v>
      </c>
      <c r="L289" t="str">
        <f>TEXT(Sheet1[[#This Row],[Open Date]],"mmm")</f>
        <v>Mar</v>
      </c>
    </row>
    <row r="290" spans="1:12" x14ac:dyDescent="0.3">
      <c r="A290" t="s">
        <v>542</v>
      </c>
      <c r="B290" t="s">
        <v>30</v>
      </c>
      <c r="C290" t="s">
        <v>161</v>
      </c>
      <c r="D290" t="s">
        <v>38</v>
      </c>
      <c r="E290" t="s">
        <v>242</v>
      </c>
      <c r="F290" t="s">
        <v>40</v>
      </c>
      <c r="G290" t="s">
        <v>59</v>
      </c>
      <c r="H290" s="1">
        <v>45372</v>
      </c>
      <c r="I290" s="1">
        <v>45372</v>
      </c>
      <c r="J290">
        <f>Sheet1[[#This Row],[Close Date]]-Sheet1[[#This Row],[Open Date]]</f>
        <v>0</v>
      </c>
      <c r="K290" t="str">
        <f>IF(Sheet1[[#This Row],[Actual Days]]&gt;=1,"Not Met","Met")</f>
        <v>Met</v>
      </c>
      <c r="L290" t="str">
        <f>TEXT(Sheet1[[#This Row],[Open Date]],"mmm")</f>
        <v>Mar</v>
      </c>
    </row>
    <row r="291" spans="1:12" x14ac:dyDescent="0.3">
      <c r="A291" t="s">
        <v>543</v>
      </c>
      <c r="B291" t="s">
        <v>22</v>
      </c>
      <c r="C291" t="s">
        <v>23</v>
      </c>
      <c r="D291" t="s">
        <v>94</v>
      </c>
      <c r="E291" t="s">
        <v>244</v>
      </c>
      <c r="F291" t="s">
        <v>40</v>
      </c>
      <c r="G291" t="s">
        <v>27</v>
      </c>
      <c r="H291" s="1">
        <v>45414</v>
      </c>
      <c r="I291" s="1">
        <v>45414</v>
      </c>
      <c r="J291">
        <f>Sheet1[[#This Row],[Close Date]]-Sheet1[[#This Row],[Open Date]]</f>
        <v>0</v>
      </c>
      <c r="K291" t="str">
        <f>IF(Sheet1[[#This Row],[Actual Days]]&gt;=1,"Not Met","Met")</f>
        <v>Met</v>
      </c>
      <c r="L291" t="str">
        <f>TEXT(Sheet1[[#This Row],[Open Date]],"mmm")</f>
        <v>May</v>
      </c>
    </row>
    <row r="292" spans="1:12" x14ac:dyDescent="0.3">
      <c r="A292" t="s">
        <v>544</v>
      </c>
      <c r="B292" t="s">
        <v>36</v>
      </c>
      <c r="C292" t="s">
        <v>62</v>
      </c>
      <c r="D292" t="s">
        <v>87</v>
      </c>
      <c r="E292" t="s">
        <v>246</v>
      </c>
      <c r="F292" t="s">
        <v>26</v>
      </c>
      <c r="G292" t="s">
        <v>34</v>
      </c>
      <c r="H292" s="1">
        <v>45301</v>
      </c>
      <c r="I292" s="1">
        <v>45301</v>
      </c>
      <c r="J292">
        <f>Sheet1[[#This Row],[Close Date]]-Sheet1[[#This Row],[Open Date]]</f>
        <v>0</v>
      </c>
      <c r="K292" t="str">
        <f>IF(Sheet1[[#This Row],[Actual Days]]&gt;=1,"Not Met","Met")</f>
        <v>Met</v>
      </c>
      <c r="L292" t="str">
        <f>TEXT(Sheet1[[#This Row],[Open Date]],"mmm")</f>
        <v>Jan</v>
      </c>
    </row>
    <row r="293" spans="1:12" x14ac:dyDescent="0.3">
      <c r="A293" t="s">
        <v>545</v>
      </c>
      <c r="B293" t="s">
        <v>13</v>
      </c>
      <c r="C293" t="s">
        <v>14</v>
      </c>
      <c r="D293" t="s">
        <v>24</v>
      </c>
      <c r="E293" t="s">
        <v>248</v>
      </c>
      <c r="F293" t="s">
        <v>17</v>
      </c>
      <c r="G293" t="s">
        <v>18</v>
      </c>
      <c r="H293" s="1">
        <v>45399</v>
      </c>
      <c r="I293" s="1">
        <v>45399</v>
      </c>
      <c r="J293">
        <f>Sheet1[[#This Row],[Close Date]]-Sheet1[[#This Row],[Open Date]]</f>
        <v>0</v>
      </c>
      <c r="K293" t="str">
        <f>IF(Sheet1[[#This Row],[Actual Days]]&gt;=1,"Not Met","Met")</f>
        <v>Met</v>
      </c>
      <c r="L293" t="str">
        <f>TEXT(Sheet1[[#This Row],[Open Date]],"mmm")</f>
        <v>Apr</v>
      </c>
    </row>
    <row r="294" spans="1:12" x14ac:dyDescent="0.3">
      <c r="A294" t="s">
        <v>546</v>
      </c>
      <c r="B294" t="s">
        <v>22</v>
      </c>
      <c r="C294" t="s">
        <v>23</v>
      </c>
      <c r="D294" t="s">
        <v>32</v>
      </c>
      <c r="E294" t="s">
        <v>250</v>
      </c>
      <c r="F294" t="s">
        <v>26</v>
      </c>
      <c r="G294" t="s">
        <v>49</v>
      </c>
      <c r="H294" s="1">
        <v>45373</v>
      </c>
      <c r="I294" s="1">
        <v>45373</v>
      </c>
      <c r="J294">
        <f>Sheet1[[#This Row],[Close Date]]-Sheet1[[#This Row],[Open Date]]</f>
        <v>0</v>
      </c>
      <c r="K294" t="str">
        <f>IF(Sheet1[[#This Row],[Actual Days]]&gt;=1,"Not Met","Met")</f>
        <v>Met</v>
      </c>
      <c r="L294" t="str">
        <f>TEXT(Sheet1[[#This Row],[Open Date]],"mmm")</f>
        <v>Mar</v>
      </c>
    </row>
    <row r="295" spans="1:12" x14ac:dyDescent="0.3">
      <c r="A295" t="s">
        <v>547</v>
      </c>
      <c r="B295" t="s">
        <v>30</v>
      </c>
      <c r="C295" t="s">
        <v>31</v>
      </c>
      <c r="D295" t="s">
        <v>94</v>
      </c>
      <c r="E295" t="s">
        <v>252</v>
      </c>
      <c r="F295" t="s">
        <v>40</v>
      </c>
      <c r="G295" t="s">
        <v>18</v>
      </c>
      <c r="H295" s="1">
        <v>45356</v>
      </c>
      <c r="I295" s="1">
        <v>45356</v>
      </c>
      <c r="J295">
        <f>Sheet1[[#This Row],[Close Date]]-Sheet1[[#This Row],[Open Date]]</f>
        <v>0</v>
      </c>
      <c r="K295" t="str">
        <f>IF(Sheet1[[#This Row],[Actual Days]]&gt;=1,"Not Met","Met")</f>
        <v>Met</v>
      </c>
      <c r="L295" t="str">
        <f>TEXT(Sheet1[[#This Row],[Open Date]],"mmm")</f>
        <v>Mar</v>
      </c>
    </row>
    <row r="296" spans="1:12" x14ac:dyDescent="0.3">
      <c r="A296" t="s">
        <v>548</v>
      </c>
      <c r="B296" t="s">
        <v>22</v>
      </c>
      <c r="C296" t="s">
        <v>101</v>
      </c>
      <c r="D296" t="s">
        <v>73</v>
      </c>
      <c r="E296" t="s">
        <v>254</v>
      </c>
      <c r="F296" t="s">
        <v>26</v>
      </c>
      <c r="G296" t="s">
        <v>34</v>
      </c>
      <c r="H296" s="1">
        <v>45321</v>
      </c>
      <c r="I296" s="1">
        <v>45321</v>
      </c>
      <c r="J296">
        <f>Sheet1[[#This Row],[Close Date]]-Sheet1[[#This Row],[Open Date]]</f>
        <v>0</v>
      </c>
      <c r="K296" t="str">
        <f>IF(Sheet1[[#This Row],[Actual Days]]&gt;=1,"Not Met","Met")</f>
        <v>Met</v>
      </c>
      <c r="L296" t="str">
        <f>TEXT(Sheet1[[#This Row],[Open Date]],"mmm")</f>
        <v>Jan</v>
      </c>
    </row>
    <row r="297" spans="1:12" x14ac:dyDescent="0.3">
      <c r="A297" t="s">
        <v>549</v>
      </c>
      <c r="B297" t="s">
        <v>42</v>
      </c>
      <c r="C297" t="s">
        <v>104</v>
      </c>
      <c r="D297" t="s">
        <v>38</v>
      </c>
      <c r="E297" t="s">
        <v>256</v>
      </c>
      <c r="F297" t="s">
        <v>40</v>
      </c>
      <c r="G297" t="s">
        <v>59</v>
      </c>
      <c r="H297" s="1">
        <v>45303</v>
      </c>
      <c r="I297" s="1">
        <v>45303</v>
      </c>
      <c r="J297">
        <f>Sheet1[[#This Row],[Close Date]]-Sheet1[[#This Row],[Open Date]]</f>
        <v>0</v>
      </c>
      <c r="K297" t="str">
        <f>IF(Sheet1[[#This Row],[Actual Days]]&gt;=1,"Not Met","Met")</f>
        <v>Met</v>
      </c>
      <c r="L297" t="str">
        <f>TEXT(Sheet1[[#This Row],[Open Date]],"mmm")</f>
        <v>Jan</v>
      </c>
    </row>
    <row r="298" spans="1:12" x14ac:dyDescent="0.3">
      <c r="A298" t="s">
        <v>550</v>
      </c>
      <c r="B298" t="s">
        <v>42</v>
      </c>
      <c r="C298" t="s">
        <v>107</v>
      </c>
      <c r="D298" t="s">
        <v>94</v>
      </c>
      <c r="E298" t="s">
        <v>258</v>
      </c>
      <c r="F298" t="s">
        <v>26</v>
      </c>
      <c r="G298" t="s">
        <v>49</v>
      </c>
      <c r="H298" s="1">
        <v>45433</v>
      </c>
      <c r="I298" s="1">
        <v>45433</v>
      </c>
      <c r="J298">
        <f>Sheet1[[#This Row],[Close Date]]-Sheet1[[#This Row],[Open Date]]</f>
        <v>0</v>
      </c>
      <c r="K298" t="str">
        <f>IF(Sheet1[[#This Row],[Actual Days]]&gt;=1,"Not Met","Met")</f>
        <v>Met</v>
      </c>
      <c r="L298" t="str">
        <f>TEXT(Sheet1[[#This Row],[Open Date]],"mmm")</f>
        <v>May</v>
      </c>
    </row>
    <row r="299" spans="1:12" x14ac:dyDescent="0.3">
      <c r="A299" t="s">
        <v>551</v>
      </c>
      <c r="B299" t="s">
        <v>30</v>
      </c>
      <c r="C299" t="s">
        <v>51</v>
      </c>
      <c r="D299" t="s">
        <v>94</v>
      </c>
      <c r="E299" t="s">
        <v>260</v>
      </c>
      <c r="F299" t="s">
        <v>40</v>
      </c>
      <c r="G299" t="s">
        <v>27</v>
      </c>
      <c r="H299" s="1">
        <v>45415</v>
      </c>
      <c r="I299" s="1">
        <v>45415</v>
      </c>
      <c r="J299">
        <f>Sheet1[[#This Row],[Close Date]]-Sheet1[[#This Row],[Open Date]]</f>
        <v>0</v>
      </c>
      <c r="K299" t="str">
        <f>IF(Sheet1[[#This Row],[Actual Days]]&gt;=1,"Not Met","Met")</f>
        <v>Met</v>
      </c>
      <c r="L299" t="str">
        <f>TEXT(Sheet1[[#This Row],[Open Date]],"mmm")</f>
        <v>May</v>
      </c>
    </row>
    <row r="300" spans="1:12" x14ac:dyDescent="0.3">
      <c r="A300" t="s">
        <v>552</v>
      </c>
      <c r="B300" t="s">
        <v>42</v>
      </c>
      <c r="C300" t="s">
        <v>107</v>
      </c>
      <c r="D300" t="s">
        <v>32</v>
      </c>
      <c r="E300" t="s">
        <v>262</v>
      </c>
      <c r="F300" t="s">
        <v>40</v>
      </c>
      <c r="G300" t="s">
        <v>59</v>
      </c>
      <c r="H300" s="1">
        <v>45421</v>
      </c>
      <c r="I300" s="1">
        <v>45421</v>
      </c>
      <c r="J300">
        <f>Sheet1[[#This Row],[Close Date]]-Sheet1[[#This Row],[Open Date]]</f>
        <v>0</v>
      </c>
      <c r="K300" t="str">
        <f>IF(Sheet1[[#This Row],[Actual Days]]&gt;=1,"Not Met","Met")</f>
        <v>Met</v>
      </c>
      <c r="L300" t="str">
        <f>TEXT(Sheet1[[#This Row],[Open Date]],"mmm")</f>
        <v>May</v>
      </c>
    </row>
    <row r="301" spans="1:12" x14ac:dyDescent="0.3">
      <c r="A301" t="s">
        <v>553</v>
      </c>
      <c r="B301" t="s">
        <v>42</v>
      </c>
      <c r="C301" t="s">
        <v>43</v>
      </c>
      <c r="D301" t="s">
        <v>156</v>
      </c>
      <c r="E301" t="s">
        <v>264</v>
      </c>
      <c r="F301" t="s">
        <v>26</v>
      </c>
      <c r="G301" t="s">
        <v>59</v>
      </c>
      <c r="H301" s="1">
        <v>45461</v>
      </c>
      <c r="I301" s="1">
        <v>45461</v>
      </c>
      <c r="J301">
        <f>Sheet1[[#This Row],[Close Date]]-Sheet1[[#This Row],[Open Date]]</f>
        <v>0</v>
      </c>
      <c r="K301" t="str">
        <f>IF(Sheet1[[#This Row],[Actual Days]]&gt;=1,"Not Met","Met")</f>
        <v>Met</v>
      </c>
      <c r="L301" t="str">
        <f>TEXT(Sheet1[[#This Row],[Open Date]],"mmm")</f>
        <v>Jun</v>
      </c>
    </row>
    <row r="302" spans="1:12" x14ac:dyDescent="0.3">
      <c r="A302" t="s">
        <v>554</v>
      </c>
      <c r="B302" t="s">
        <v>30</v>
      </c>
      <c r="C302" t="s">
        <v>51</v>
      </c>
      <c r="D302" t="s">
        <v>156</v>
      </c>
      <c r="E302" t="s">
        <v>266</v>
      </c>
      <c r="F302" t="s">
        <v>17</v>
      </c>
      <c r="G302" t="s">
        <v>45</v>
      </c>
      <c r="H302" s="1">
        <v>45412</v>
      </c>
      <c r="I302" s="1">
        <v>45412</v>
      </c>
      <c r="J302">
        <f>Sheet1[[#This Row],[Close Date]]-Sheet1[[#This Row],[Open Date]]</f>
        <v>0</v>
      </c>
      <c r="K302" t="str">
        <f>IF(Sheet1[[#This Row],[Actual Days]]&gt;=1,"Not Met","Met")</f>
        <v>Met</v>
      </c>
      <c r="L302" t="str">
        <f>TEXT(Sheet1[[#This Row],[Open Date]],"mmm")</f>
        <v>Apr</v>
      </c>
    </row>
    <row r="303" spans="1:12" x14ac:dyDescent="0.3">
      <c r="A303" t="s">
        <v>555</v>
      </c>
      <c r="B303" t="s">
        <v>42</v>
      </c>
      <c r="C303" t="s">
        <v>107</v>
      </c>
      <c r="D303" t="s">
        <v>38</v>
      </c>
      <c r="E303" t="s">
        <v>268</v>
      </c>
      <c r="F303" t="s">
        <v>26</v>
      </c>
      <c r="G303" t="s">
        <v>34</v>
      </c>
      <c r="H303" s="1">
        <v>45391</v>
      </c>
      <c r="I303" s="1">
        <v>45391</v>
      </c>
      <c r="J303">
        <f>Sheet1[[#This Row],[Close Date]]-Sheet1[[#This Row],[Open Date]]</f>
        <v>0</v>
      </c>
      <c r="K303" t="str">
        <f>IF(Sheet1[[#This Row],[Actual Days]]&gt;=1,"Not Met","Met")</f>
        <v>Met</v>
      </c>
      <c r="L303" t="str">
        <f>TEXT(Sheet1[[#This Row],[Open Date]],"mmm")</f>
        <v>Apr</v>
      </c>
    </row>
    <row r="304" spans="1:12" x14ac:dyDescent="0.3">
      <c r="A304" t="s">
        <v>556</v>
      </c>
      <c r="B304" t="s">
        <v>36</v>
      </c>
      <c r="C304" t="s">
        <v>76</v>
      </c>
      <c r="D304" t="s">
        <v>24</v>
      </c>
      <c r="E304" t="s">
        <v>270</v>
      </c>
      <c r="F304" t="s">
        <v>40</v>
      </c>
      <c r="G304" t="s">
        <v>45</v>
      </c>
      <c r="H304" s="1">
        <v>45408</v>
      </c>
      <c r="I304" s="1">
        <v>45408</v>
      </c>
      <c r="J304">
        <f>Sheet1[[#This Row],[Close Date]]-Sheet1[[#This Row],[Open Date]]</f>
        <v>0</v>
      </c>
      <c r="K304" t="str">
        <f>IF(Sheet1[[#This Row],[Actual Days]]&gt;=1,"Not Met","Met")</f>
        <v>Met</v>
      </c>
      <c r="L304" t="str">
        <f>TEXT(Sheet1[[#This Row],[Open Date]],"mmm")</f>
        <v>Apr</v>
      </c>
    </row>
    <row r="305" spans="1:12" x14ac:dyDescent="0.3">
      <c r="A305" t="s">
        <v>557</v>
      </c>
      <c r="B305" t="s">
        <v>30</v>
      </c>
      <c r="C305" t="s">
        <v>51</v>
      </c>
      <c r="D305" t="s">
        <v>32</v>
      </c>
      <c r="E305" t="s">
        <v>272</v>
      </c>
      <c r="F305" t="s">
        <v>40</v>
      </c>
      <c r="G305" t="s">
        <v>49</v>
      </c>
      <c r="H305" s="1">
        <v>45356</v>
      </c>
      <c r="I305" s="1">
        <v>45357</v>
      </c>
      <c r="J305">
        <f>Sheet1[[#This Row],[Close Date]]-Sheet1[[#This Row],[Open Date]]</f>
        <v>1</v>
      </c>
      <c r="K305" t="str">
        <f>IF(Sheet1[[#This Row],[Actual Days]]&gt;=1,"Not Met","Met")</f>
        <v>Not Met</v>
      </c>
      <c r="L305" t="str">
        <f>TEXT(Sheet1[[#This Row],[Open Date]],"mmm")</f>
        <v>Mar</v>
      </c>
    </row>
    <row r="306" spans="1:12" x14ac:dyDescent="0.3">
      <c r="A306" t="s">
        <v>558</v>
      </c>
      <c r="B306" t="s">
        <v>30</v>
      </c>
      <c r="C306" t="s">
        <v>31</v>
      </c>
      <c r="D306" t="s">
        <v>38</v>
      </c>
      <c r="E306" t="s">
        <v>274</v>
      </c>
      <c r="F306" t="s">
        <v>40</v>
      </c>
      <c r="G306" t="s">
        <v>34</v>
      </c>
      <c r="H306" s="1">
        <v>45430</v>
      </c>
      <c r="I306" s="1">
        <v>45430</v>
      </c>
      <c r="J306">
        <f>Sheet1[[#This Row],[Close Date]]-Sheet1[[#This Row],[Open Date]]</f>
        <v>0</v>
      </c>
      <c r="K306" t="str">
        <f>IF(Sheet1[[#This Row],[Actual Days]]&gt;=1,"Not Met","Met")</f>
        <v>Met</v>
      </c>
      <c r="L306" t="str">
        <f>TEXT(Sheet1[[#This Row],[Open Date]],"mmm")</f>
        <v>May</v>
      </c>
    </row>
    <row r="307" spans="1:12" x14ac:dyDescent="0.3">
      <c r="A307" t="s">
        <v>559</v>
      </c>
      <c r="B307" t="s">
        <v>13</v>
      </c>
      <c r="C307" t="s">
        <v>68</v>
      </c>
      <c r="D307" t="s">
        <v>87</v>
      </c>
      <c r="E307" t="s">
        <v>276</v>
      </c>
      <c r="F307" t="s">
        <v>17</v>
      </c>
      <c r="G307" t="s">
        <v>59</v>
      </c>
      <c r="H307" s="1">
        <v>45360</v>
      </c>
      <c r="I307" s="1">
        <v>45360</v>
      </c>
      <c r="J307">
        <f>Sheet1[[#This Row],[Close Date]]-Sheet1[[#This Row],[Open Date]]</f>
        <v>0</v>
      </c>
      <c r="K307" t="str">
        <f>IF(Sheet1[[#This Row],[Actual Days]]&gt;=1,"Not Met","Met")</f>
        <v>Met</v>
      </c>
      <c r="L307" t="str">
        <f>TEXT(Sheet1[[#This Row],[Open Date]],"mmm")</f>
        <v>Mar</v>
      </c>
    </row>
    <row r="308" spans="1:12" x14ac:dyDescent="0.3">
      <c r="A308" t="s">
        <v>560</v>
      </c>
      <c r="B308" t="s">
        <v>42</v>
      </c>
      <c r="C308" t="s">
        <v>104</v>
      </c>
      <c r="D308" t="s">
        <v>15</v>
      </c>
      <c r="E308" t="s">
        <v>278</v>
      </c>
      <c r="F308" t="s">
        <v>40</v>
      </c>
      <c r="G308" t="s">
        <v>45</v>
      </c>
      <c r="H308" s="1">
        <v>45318</v>
      </c>
      <c r="I308" s="1">
        <v>45318</v>
      </c>
      <c r="J308">
        <f>Sheet1[[#This Row],[Close Date]]-Sheet1[[#This Row],[Open Date]]</f>
        <v>0</v>
      </c>
      <c r="K308" t="str">
        <f>IF(Sheet1[[#This Row],[Actual Days]]&gt;=1,"Not Met","Met")</f>
        <v>Met</v>
      </c>
      <c r="L308" t="str">
        <f>TEXT(Sheet1[[#This Row],[Open Date]],"mmm")</f>
        <v>Jan</v>
      </c>
    </row>
    <row r="309" spans="1:12" x14ac:dyDescent="0.3">
      <c r="A309" t="s">
        <v>561</v>
      </c>
      <c r="B309" t="s">
        <v>30</v>
      </c>
      <c r="C309" t="s">
        <v>161</v>
      </c>
      <c r="D309" t="s">
        <v>38</v>
      </c>
      <c r="E309" t="s">
        <v>280</v>
      </c>
      <c r="F309" t="s">
        <v>26</v>
      </c>
      <c r="G309" t="s">
        <v>49</v>
      </c>
      <c r="H309" s="1">
        <v>45313</v>
      </c>
      <c r="I309" s="1">
        <v>45313</v>
      </c>
      <c r="J309">
        <f>Sheet1[[#This Row],[Close Date]]-Sheet1[[#This Row],[Open Date]]</f>
        <v>0</v>
      </c>
      <c r="K309" t="str">
        <f>IF(Sheet1[[#This Row],[Actual Days]]&gt;=1,"Not Met","Met")</f>
        <v>Met</v>
      </c>
      <c r="L309" t="str">
        <f>TEXT(Sheet1[[#This Row],[Open Date]],"mmm")</f>
        <v>Jan</v>
      </c>
    </row>
    <row r="310" spans="1:12" x14ac:dyDescent="0.3">
      <c r="A310" t="s">
        <v>562</v>
      </c>
      <c r="B310" t="s">
        <v>22</v>
      </c>
      <c r="C310" t="s">
        <v>101</v>
      </c>
      <c r="D310" t="s">
        <v>38</v>
      </c>
      <c r="E310" t="s">
        <v>282</v>
      </c>
      <c r="F310" t="s">
        <v>26</v>
      </c>
      <c r="G310" t="s">
        <v>49</v>
      </c>
      <c r="H310" s="1">
        <v>45378</v>
      </c>
      <c r="I310" s="1">
        <v>45379</v>
      </c>
      <c r="J310">
        <f>Sheet1[[#This Row],[Close Date]]-Sheet1[[#This Row],[Open Date]]</f>
        <v>1</v>
      </c>
      <c r="K310" t="str">
        <f>IF(Sheet1[[#This Row],[Actual Days]]&gt;=1,"Not Met","Met")</f>
        <v>Not Met</v>
      </c>
      <c r="L310" t="str">
        <f>TEXT(Sheet1[[#This Row],[Open Date]],"mmm")</f>
        <v>Mar</v>
      </c>
    </row>
    <row r="311" spans="1:12" x14ac:dyDescent="0.3">
      <c r="A311" t="s">
        <v>563</v>
      </c>
      <c r="B311" t="s">
        <v>36</v>
      </c>
      <c r="C311" t="s">
        <v>37</v>
      </c>
      <c r="D311" t="s">
        <v>38</v>
      </c>
      <c r="E311" t="s">
        <v>284</v>
      </c>
      <c r="F311" t="s">
        <v>17</v>
      </c>
      <c r="G311" t="s">
        <v>27</v>
      </c>
      <c r="H311" s="1">
        <v>45365</v>
      </c>
      <c r="I311" s="1">
        <v>45365</v>
      </c>
      <c r="J311">
        <f>Sheet1[[#This Row],[Close Date]]-Sheet1[[#This Row],[Open Date]]</f>
        <v>0</v>
      </c>
      <c r="K311" t="str">
        <f>IF(Sheet1[[#This Row],[Actual Days]]&gt;=1,"Not Met","Met")</f>
        <v>Met</v>
      </c>
      <c r="L311" t="str">
        <f>TEXT(Sheet1[[#This Row],[Open Date]],"mmm")</f>
        <v>Mar</v>
      </c>
    </row>
    <row r="312" spans="1:12" x14ac:dyDescent="0.3">
      <c r="A312" t="s">
        <v>564</v>
      </c>
      <c r="B312" t="s">
        <v>13</v>
      </c>
      <c r="C312" t="s">
        <v>65</v>
      </c>
      <c r="D312" t="s">
        <v>73</v>
      </c>
      <c r="E312" t="s">
        <v>286</v>
      </c>
      <c r="F312" t="s">
        <v>17</v>
      </c>
      <c r="G312" t="s">
        <v>49</v>
      </c>
      <c r="H312" s="1">
        <v>45393</v>
      </c>
      <c r="I312" s="1">
        <v>45393</v>
      </c>
      <c r="J312">
        <f>Sheet1[[#This Row],[Close Date]]-Sheet1[[#This Row],[Open Date]]</f>
        <v>0</v>
      </c>
      <c r="K312" t="str">
        <f>IF(Sheet1[[#This Row],[Actual Days]]&gt;=1,"Not Met","Met")</f>
        <v>Met</v>
      </c>
      <c r="L312" t="str">
        <f>TEXT(Sheet1[[#This Row],[Open Date]],"mmm")</f>
        <v>Apr</v>
      </c>
    </row>
    <row r="313" spans="1:12" x14ac:dyDescent="0.3">
      <c r="A313" t="s">
        <v>565</v>
      </c>
      <c r="B313" t="s">
        <v>30</v>
      </c>
      <c r="C313" t="s">
        <v>31</v>
      </c>
      <c r="D313" t="s">
        <v>73</v>
      </c>
      <c r="E313" t="s">
        <v>288</v>
      </c>
      <c r="F313" t="s">
        <v>26</v>
      </c>
      <c r="G313" t="s">
        <v>27</v>
      </c>
      <c r="H313" s="1">
        <v>45432</v>
      </c>
      <c r="I313" s="1">
        <v>45432</v>
      </c>
      <c r="J313">
        <f>Sheet1[[#This Row],[Close Date]]-Sheet1[[#This Row],[Open Date]]</f>
        <v>0</v>
      </c>
      <c r="K313" t="str">
        <f>IF(Sheet1[[#This Row],[Actual Days]]&gt;=1,"Not Met","Met")</f>
        <v>Met</v>
      </c>
      <c r="L313" t="str">
        <f>TEXT(Sheet1[[#This Row],[Open Date]],"mmm")</f>
        <v>May</v>
      </c>
    </row>
    <row r="314" spans="1:12" x14ac:dyDescent="0.3">
      <c r="A314" t="s">
        <v>566</v>
      </c>
      <c r="B314" t="s">
        <v>30</v>
      </c>
      <c r="C314" t="s">
        <v>161</v>
      </c>
      <c r="D314" t="s">
        <v>87</v>
      </c>
      <c r="E314" t="s">
        <v>290</v>
      </c>
      <c r="F314" t="s">
        <v>40</v>
      </c>
      <c r="G314" t="s">
        <v>59</v>
      </c>
      <c r="H314" s="1">
        <v>45296</v>
      </c>
      <c r="I314" s="1">
        <v>45296</v>
      </c>
      <c r="J314">
        <f>Sheet1[[#This Row],[Close Date]]-Sheet1[[#This Row],[Open Date]]</f>
        <v>0</v>
      </c>
      <c r="K314" t="str">
        <f>IF(Sheet1[[#This Row],[Actual Days]]&gt;=1,"Not Met","Met")</f>
        <v>Met</v>
      </c>
      <c r="L314" t="str">
        <f>TEXT(Sheet1[[#This Row],[Open Date]],"mmm")</f>
        <v>Jan</v>
      </c>
    </row>
    <row r="315" spans="1:12" x14ac:dyDescent="0.3">
      <c r="A315" t="s">
        <v>567</v>
      </c>
      <c r="B315" t="s">
        <v>22</v>
      </c>
      <c r="C315" t="s">
        <v>84</v>
      </c>
      <c r="D315" t="s">
        <v>156</v>
      </c>
      <c r="E315" t="s">
        <v>292</v>
      </c>
      <c r="F315" t="s">
        <v>40</v>
      </c>
      <c r="G315" t="s">
        <v>59</v>
      </c>
      <c r="H315" s="1">
        <v>45386</v>
      </c>
      <c r="I315" s="1">
        <v>45386</v>
      </c>
      <c r="J315">
        <f>Sheet1[[#This Row],[Close Date]]-Sheet1[[#This Row],[Open Date]]</f>
        <v>0</v>
      </c>
      <c r="K315" t="str">
        <f>IF(Sheet1[[#This Row],[Actual Days]]&gt;=1,"Not Met","Met")</f>
        <v>Met</v>
      </c>
      <c r="L315" t="str">
        <f>TEXT(Sheet1[[#This Row],[Open Date]],"mmm")</f>
        <v>Apr</v>
      </c>
    </row>
    <row r="316" spans="1:12" x14ac:dyDescent="0.3">
      <c r="A316" t="s">
        <v>568</v>
      </c>
      <c r="B316" t="s">
        <v>42</v>
      </c>
      <c r="C316" t="s">
        <v>107</v>
      </c>
      <c r="D316" t="s">
        <v>87</v>
      </c>
      <c r="E316" t="s">
        <v>294</v>
      </c>
      <c r="F316" t="s">
        <v>26</v>
      </c>
      <c r="G316" t="s">
        <v>18</v>
      </c>
      <c r="H316" s="1">
        <v>45406</v>
      </c>
      <c r="I316" s="1">
        <v>45406</v>
      </c>
      <c r="J316">
        <f>Sheet1[[#This Row],[Close Date]]-Sheet1[[#This Row],[Open Date]]</f>
        <v>0</v>
      </c>
      <c r="K316" t="str">
        <f>IF(Sheet1[[#This Row],[Actual Days]]&gt;=1,"Not Met","Met")</f>
        <v>Met</v>
      </c>
      <c r="L316" t="str">
        <f>TEXT(Sheet1[[#This Row],[Open Date]],"mmm")</f>
        <v>Apr</v>
      </c>
    </row>
    <row r="317" spans="1:12" x14ac:dyDescent="0.3">
      <c r="A317" t="s">
        <v>569</v>
      </c>
      <c r="B317" t="s">
        <v>22</v>
      </c>
      <c r="C317" t="s">
        <v>23</v>
      </c>
      <c r="D317" t="s">
        <v>73</v>
      </c>
      <c r="E317" t="s">
        <v>296</v>
      </c>
      <c r="F317" t="s">
        <v>17</v>
      </c>
      <c r="G317" t="s">
        <v>59</v>
      </c>
      <c r="H317" s="1">
        <v>45338</v>
      </c>
      <c r="I317" s="1">
        <v>45338</v>
      </c>
      <c r="J317">
        <f>Sheet1[[#This Row],[Close Date]]-Sheet1[[#This Row],[Open Date]]</f>
        <v>0</v>
      </c>
      <c r="K317" t="str">
        <f>IF(Sheet1[[#This Row],[Actual Days]]&gt;=1,"Not Met","Met")</f>
        <v>Met</v>
      </c>
      <c r="L317" t="str">
        <f>TEXT(Sheet1[[#This Row],[Open Date]],"mmm")</f>
        <v>Feb</v>
      </c>
    </row>
    <row r="318" spans="1:12" x14ac:dyDescent="0.3">
      <c r="A318" t="s">
        <v>570</v>
      </c>
      <c r="B318" t="s">
        <v>13</v>
      </c>
      <c r="C318" t="s">
        <v>14</v>
      </c>
      <c r="D318" t="s">
        <v>24</v>
      </c>
      <c r="E318" t="s">
        <v>298</v>
      </c>
      <c r="F318" t="s">
        <v>26</v>
      </c>
      <c r="G318" t="s">
        <v>27</v>
      </c>
      <c r="H318" s="1">
        <v>45403</v>
      </c>
      <c r="I318" s="1">
        <v>45403</v>
      </c>
      <c r="J318">
        <f>Sheet1[[#This Row],[Close Date]]-Sheet1[[#This Row],[Open Date]]</f>
        <v>0</v>
      </c>
      <c r="K318" t="str">
        <f>IF(Sheet1[[#This Row],[Actual Days]]&gt;=1,"Not Met","Met")</f>
        <v>Met</v>
      </c>
      <c r="L318" t="str">
        <f>TEXT(Sheet1[[#This Row],[Open Date]],"mmm")</f>
        <v>Apr</v>
      </c>
    </row>
    <row r="319" spans="1:12" x14ac:dyDescent="0.3">
      <c r="A319" t="s">
        <v>571</v>
      </c>
      <c r="B319" t="s">
        <v>22</v>
      </c>
      <c r="C319" t="s">
        <v>84</v>
      </c>
      <c r="D319" t="s">
        <v>24</v>
      </c>
      <c r="E319" t="s">
        <v>300</v>
      </c>
      <c r="F319" t="s">
        <v>26</v>
      </c>
      <c r="G319" t="s">
        <v>45</v>
      </c>
      <c r="H319" s="1">
        <v>45450</v>
      </c>
      <c r="I319" s="1">
        <v>45450</v>
      </c>
      <c r="J319">
        <f>Sheet1[[#This Row],[Close Date]]-Sheet1[[#This Row],[Open Date]]</f>
        <v>0</v>
      </c>
      <c r="K319" t="str">
        <f>IF(Sheet1[[#This Row],[Actual Days]]&gt;=1,"Not Met","Met")</f>
        <v>Met</v>
      </c>
      <c r="L319" t="str">
        <f>TEXT(Sheet1[[#This Row],[Open Date]],"mmm")</f>
        <v>Jun</v>
      </c>
    </row>
    <row r="320" spans="1:12" x14ac:dyDescent="0.3">
      <c r="A320" t="s">
        <v>572</v>
      </c>
      <c r="B320" t="s">
        <v>36</v>
      </c>
      <c r="C320" t="s">
        <v>37</v>
      </c>
      <c r="D320" t="s">
        <v>87</v>
      </c>
      <c r="E320" t="s">
        <v>302</v>
      </c>
      <c r="F320" t="s">
        <v>40</v>
      </c>
      <c r="G320" t="s">
        <v>59</v>
      </c>
      <c r="H320" s="1">
        <v>45299</v>
      </c>
      <c r="I320" s="1">
        <v>45299</v>
      </c>
      <c r="J320">
        <f>Sheet1[[#This Row],[Close Date]]-Sheet1[[#This Row],[Open Date]]</f>
        <v>0</v>
      </c>
      <c r="K320" t="str">
        <f>IF(Sheet1[[#This Row],[Actual Days]]&gt;=1,"Not Met","Met")</f>
        <v>Met</v>
      </c>
      <c r="L320" t="str">
        <f>TEXT(Sheet1[[#This Row],[Open Date]],"mmm")</f>
        <v>Jan</v>
      </c>
    </row>
    <row r="321" spans="1:12" x14ac:dyDescent="0.3">
      <c r="A321" t="s">
        <v>573</v>
      </c>
      <c r="B321" t="s">
        <v>36</v>
      </c>
      <c r="C321" t="s">
        <v>62</v>
      </c>
      <c r="D321" t="s">
        <v>156</v>
      </c>
      <c r="E321" t="s">
        <v>304</v>
      </c>
      <c r="F321" t="s">
        <v>17</v>
      </c>
      <c r="G321" t="s">
        <v>59</v>
      </c>
      <c r="H321" s="1">
        <v>45432</v>
      </c>
      <c r="I321" s="1">
        <v>45432</v>
      </c>
      <c r="J321">
        <f>Sheet1[[#This Row],[Close Date]]-Sheet1[[#This Row],[Open Date]]</f>
        <v>0</v>
      </c>
      <c r="K321" t="str">
        <f>IF(Sheet1[[#This Row],[Actual Days]]&gt;=1,"Not Met","Met")</f>
        <v>Met</v>
      </c>
      <c r="L321" t="str">
        <f>TEXT(Sheet1[[#This Row],[Open Date]],"mmm")</f>
        <v>May</v>
      </c>
    </row>
    <row r="322" spans="1:12" x14ac:dyDescent="0.3">
      <c r="A322" t="s">
        <v>574</v>
      </c>
      <c r="B322" t="s">
        <v>30</v>
      </c>
      <c r="C322" t="s">
        <v>31</v>
      </c>
      <c r="D322" t="s">
        <v>94</v>
      </c>
      <c r="E322" t="s">
        <v>306</v>
      </c>
      <c r="F322" t="s">
        <v>26</v>
      </c>
      <c r="G322" t="s">
        <v>18</v>
      </c>
      <c r="H322" s="1">
        <v>45405</v>
      </c>
      <c r="I322" s="1">
        <v>45405</v>
      </c>
      <c r="J322">
        <f>Sheet1[[#This Row],[Close Date]]-Sheet1[[#This Row],[Open Date]]</f>
        <v>0</v>
      </c>
      <c r="K322" t="str">
        <f>IF(Sheet1[[#This Row],[Actual Days]]&gt;=1,"Not Met","Met")</f>
        <v>Met</v>
      </c>
      <c r="L322" t="str">
        <f>TEXT(Sheet1[[#This Row],[Open Date]],"mmm")</f>
        <v>Apr</v>
      </c>
    </row>
    <row r="323" spans="1:12" x14ac:dyDescent="0.3">
      <c r="A323" t="s">
        <v>575</v>
      </c>
      <c r="B323" t="s">
        <v>42</v>
      </c>
      <c r="C323" t="s">
        <v>43</v>
      </c>
      <c r="D323" t="s">
        <v>15</v>
      </c>
      <c r="E323" t="s">
        <v>308</v>
      </c>
      <c r="F323" t="s">
        <v>26</v>
      </c>
      <c r="G323" t="s">
        <v>45</v>
      </c>
      <c r="H323" s="1">
        <v>45330</v>
      </c>
      <c r="I323" s="1">
        <v>45330</v>
      </c>
      <c r="J323">
        <f>Sheet1[[#This Row],[Close Date]]-Sheet1[[#This Row],[Open Date]]</f>
        <v>0</v>
      </c>
      <c r="K323" t="str">
        <f>IF(Sheet1[[#This Row],[Actual Days]]&gt;=1,"Not Met","Met")</f>
        <v>Met</v>
      </c>
      <c r="L323" t="str">
        <f>TEXT(Sheet1[[#This Row],[Open Date]],"mmm")</f>
        <v>Feb</v>
      </c>
    </row>
    <row r="324" spans="1:12" x14ac:dyDescent="0.3">
      <c r="A324" t="s">
        <v>576</v>
      </c>
      <c r="B324" t="s">
        <v>30</v>
      </c>
      <c r="C324" t="s">
        <v>31</v>
      </c>
      <c r="D324" t="s">
        <v>38</v>
      </c>
      <c r="E324" t="s">
        <v>310</v>
      </c>
      <c r="F324" t="s">
        <v>26</v>
      </c>
      <c r="G324" t="s">
        <v>49</v>
      </c>
      <c r="H324" s="1">
        <v>45414</v>
      </c>
      <c r="I324" s="1">
        <v>45414</v>
      </c>
      <c r="J324">
        <f>Sheet1[[#This Row],[Close Date]]-Sheet1[[#This Row],[Open Date]]</f>
        <v>0</v>
      </c>
      <c r="K324" t="str">
        <f>IF(Sheet1[[#This Row],[Actual Days]]&gt;=1,"Not Met","Met")</f>
        <v>Met</v>
      </c>
      <c r="L324" t="str">
        <f>TEXT(Sheet1[[#This Row],[Open Date]],"mmm")</f>
        <v>May</v>
      </c>
    </row>
    <row r="325" spans="1:12" x14ac:dyDescent="0.3">
      <c r="A325" t="s">
        <v>577</v>
      </c>
      <c r="B325" t="s">
        <v>13</v>
      </c>
      <c r="C325" t="s">
        <v>65</v>
      </c>
      <c r="D325" t="s">
        <v>94</v>
      </c>
      <c r="E325" t="s">
        <v>312</v>
      </c>
      <c r="F325" t="s">
        <v>40</v>
      </c>
      <c r="G325" t="s">
        <v>45</v>
      </c>
      <c r="H325" s="1">
        <v>45399</v>
      </c>
      <c r="I325" s="1">
        <v>45399</v>
      </c>
      <c r="J325">
        <f>Sheet1[[#This Row],[Close Date]]-Sheet1[[#This Row],[Open Date]]</f>
        <v>0</v>
      </c>
      <c r="K325" t="str">
        <f>IF(Sheet1[[#This Row],[Actual Days]]&gt;=1,"Not Met","Met")</f>
        <v>Met</v>
      </c>
      <c r="L325" t="str">
        <f>TEXT(Sheet1[[#This Row],[Open Date]],"mmm")</f>
        <v>Apr</v>
      </c>
    </row>
    <row r="326" spans="1:12" x14ac:dyDescent="0.3">
      <c r="A326" t="s">
        <v>578</v>
      </c>
      <c r="B326" t="s">
        <v>30</v>
      </c>
      <c r="C326" t="s">
        <v>51</v>
      </c>
      <c r="D326" t="s">
        <v>73</v>
      </c>
      <c r="E326" t="s">
        <v>314</v>
      </c>
      <c r="F326" t="s">
        <v>17</v>
      </c>
      <c r="G326" t="s">
        <v>18</v>
      </c>
      <c r="H326" s="1">
        <v>45304</v>
      </c>
      <c r="I326" s="1">
        <v>45304</v>
      </c>
      <c r="J326">
        <f>Sheet1[[#This Row],[Close Date]]-Sheet1[[#This Row],[Open Date]]</f>
        <v>0</v>
      </c>
      <c r="K326" t="str">
        <f>IF(Sheet1[[#This Row],[Actual Days]]&gt;=1,"Not Met","Met")</f>
        <v>Met</v>
      </c>
      <c r="L326" t="str">
        <f>TEXT(Sheet1[[#This Row],[Open Date]],"mmm")</f>
        <v>Jan</v>
      </c>
    </row>
    <row r="327" spans="1:12" x14ac:dyDescent="0.3">
      <c r="A327" t="s">
        <v>579</v>
      </c>
      <c r="B327" t="s">
        <v>22</v>
      </c>
      <c r="C327" t="s">
        <v>23</v>
      </c>
      <c r="D327" t="s">
        <v>38</v>
      </c>
      <c r="E327" t="s">
        <v>316</v>
      </c>
      <c r="F327" t="s">
        <v>17</v>
      </c>
      <c r="G327" t="s">
        <v>34</v>
      </c>
      <c r="H327" s="1">
        <v>45305</v>
      </c>
      <c r="I327" s="1">
        <v>45306</v>
      </c>
      <c r="J327">
        <f>Sheet1[[#This Row],[Close Date]]-Sheet1[[#This Row],[Open Date]]</f>
        <v>1</v>
      </c>
      <c r="K327" t="str">
        <f>IF(Sheet1[[#This Row],[Actual Days]]&gt;=1,"Not Met","Met")</f>
        <v>Not Met</v>
      </c>
      <c r="L327" t="str">
        <f>TEXT(Sheet1[[#This Row],[Open Date]],"mmm")</f>
        <v>Jan</v>
      </c>
    </row>
    <row r="328" spans="1:12" x14ac:dyDescent="0.3">
      <c r="A328" t="s">
        <v>580</v>
      </c>
      <c r="B328" t="s">
        <v>13</v>
      </c>
      <c r="C328" t="s">
        <v>65</v>
      </c>
      <c r="D328" t="s">
        <v>38</v>
      </c>
      <c r="E328" t="s">
        <v>318</v>
      </c>
      <c r="F328" t="s">
        <v>17</v>
      </c>
      <c r="G328" t="s">
        <v>59</v>
      </c>
      <c r="H328" s="1">
        <v>45337</v>
      </c>
      <c r="I328" s="1">
        <v>45337</v>
      </c>
      <c r="J328">
        <f>Sheet1[[#This Row],[Close Date]]-Sheet1[[#This Row],[Open Date]]</f>
        <v>0</v>
      </c>
      <c r="K328" t="str">
        <f>IF(Sheet1[[#This Row],[Actual Days]]&gt;=1,"Not Met","Met")</f>
        <v>Met</v>
      </c>
      <c r="L328" t="str">
        <f>TEXT(Sheet1[[#This Row],[Open Date]],"mmm")</f>
        <v>Feb</v>
      </c>
    </row>
    <row r="329" spans="1:12" x14ac:dyDescent="0.3">
      <c r="A329" t="s">
        <v>581</v>
      </c>
      <c r="B329" t="s">
        <v>30</v>
      </c>
      <c r="C329" t="s">
        <v>161</v>
      </c>
      <c r="D329" t="s">
        <v>15</v>
      </c>
      <c r="E329" t="s">
        <v>320</v>
      </c>
      <c r="F329" t="s">
        <v>26</v>
      </c>
      <c r="G329" t="s">
        <v>34</v>
      </c>
      <c r="H329" s="1">
        <v>45302</v>
      </c>
      <c r="I329" s="1">
        <v>45302</v>
      </c>
      <c r="J329">
        <f>Sheet1[[#This Row],[Close Date]]-Sheet1[[#This Row],[Open Date]]</f>
        <v>0</v>
      </c>
      <c r="K329" t="str">
        <f>IF(Sheet1[[#This Row],[Actual Days]]&gt;=1,"Not Met","Met")</f>
        <v>Met</v>
      </c>
      <c r="L329" t="str">
        <f>TEXT(Sheet1[[#This Row],[Open Date]],"mmm")</f>
        <v>Jan</v>
      </c>
    </row>
    <row r="330" spans="1:12" x14ac:dyDescent="0.3">
      <c r="A330" t="s">
        <v>582</v>
      </c>
      <c r="B330" t="s">
        <v>36</v>
      </c>
      <c r="C330" t="s">
        <v>76</v>
      </c>
      <c r="D330" t="s">
        <v>38</v>
      </c>
      <c r="E330" t="s">
        <v>322</v>
      </c>
      <c r="F330" t="s">
        <v>40</v>
      </c>
      <c r="G330" t="s">
        <v>59</v>
      </c>
      <c r="H330" s="1">
        <v>45381</v>
      </c>
      <c r="I330" s="1">
        <v>45381</v>
      </c>
      <c r="J330">
        <f>Sheet1[[#This Row],[Close Date]]-Sheet1[[#This Row],[Open Date]]</f>
        <v>0</v>
      </c>
      <c r="K330" t="str">
        <f>IF(Sheet1[[#This Row],[Actual Days]]&gt;=1,"Not Met","Met")</f>
        <v>Met</v>
      </c>
      <c r="L330" t="str">
        <f>TEXT(Sheet1[[#This Row],[Open Date]],"mmm")</f>
        <v>Mar</v>
      </c>
    </row>
    <row r="331" spans="1:12" x14ac:dyDescent="0.3">
      <c r="A331" t="s">
        <v>583</v>
      </c>
      <c r="B331" t="s">
        <v>13</v>
      </c>
      <c r="C331" t="s">
        <v>14</v>
      </c>
      <c r="D331" t="s">
        <v>156</v>
      </c>
      <c r="E331" t="s">
        <v>324</v>
      </c>
      <c r="F331" t="s">
        <v>17</v>
      </c>
      <c r="G331" t="s">
        <v>49</v>
      </c>
      <c r="H331" s="1">
        <v>45306</v>
      </c>
      <c r="I331" s="1">
        <v>45307</v>
      </c>
      <c r="J331">
        <f>Sheet1[[#This Row],[Close Date]]-Sheet1[[#This Row],[Open Date]]</f>
        <v>1</v>
      </c>
      <c r="K331" t="str">
        <f>IF(Sheet1[[#This Row],[Actual Days]]&gt;=1,"Not Met","Met")</f>
        <v>Not Met</v>
      </c>
      <c r="L331" t="str">
        <f>TEXT(Sheet1[[#This Row],[Open Date]],"mmm")</f>
        <v>Jan</v>
      </c>
    </row>
    <row r="332" spans="1:12" x14ac:dyDescent="0.3">
      <c r="A332" t="s">
        <v>584</v>
      </c>
      <c r="B332" t="s">
        <v>13</v>
      </c>
      <c r="C332" t="s">
        <v>68</v>
      </c>
      <c r="D332" t="s">
        <v>38</v>
      </c>
      <c r="E332" t="s">
        <v>326</v>
      </c>
      <c r="F332" t="s">
        <v>17</v>
      </c>
      <c r="G332" t="s">
        <v>45</v>
      </c>
      <c r="H332" s="1">
        <v>45386</v>
      </c>
      <c r="I332" s="1">
        <v>45386</v>
      </c>
      <c r="J332">
        <f>Sheet1[[#This Row],[Close Date]]-Sheet1[[#This Row],[Open Date]]</f>
        <v>0</v>
      </c>
      <c r="K332" t="str">
        <f>IF(Sheet1[[#This Row],[Actual Days]]&gt;=1,"Not Met","Met")</f>
        <v>Met</v>
      </c>
      <c r="L332" t="str">
        <f>TEXT(Sheet1[[#This Row],[Open Date]],"mmm")</f>
        <v>Apr</v>
      </c>
    </row>
    <row r="333" spans="1:12" x14ac:dyDescent="0.3">
      <c r="A333" t="s">
        <v>585</v>
      </c>
      <c r="B333" t="s">
        <v>13</v>
      </c>
      <c r="C333" t="s">
        <v>14</v>
      </c>
      <c r="D333" t="s">
        <v>32</v>
      </c>
      <c r="E333" t="s">
        <v>328</v>
      </c>
      <c r="F333" t="s">
        <v>26</v>
      </c>
      <c r="G333" t="s">
        <v>18</v>
      </c>
      <c r="H333" s="1">
        <v>45333</v>
      </c>
      <c r="I333" s="1">
        <v>45333</v>
      </c>
      <c r="J333">
        <f>Sheet1[[#This Row],[Close Date]]-Sheet1[[#This Row],[Open Date]]</f>
        <v>0</v>
      </c>
      <c r="K333" t="str">
        <f>IF(Sheet1[[#This Row],[Actual Days]]&gt;=1,"Not Met","Met")</f>
        <v>Met</v>
      </c>
      <c r="L333" t="str">
        <f>TEXT(Sheet1[[#This Row],[Open Date]],"mmm")</f>
        <v>Feb</v>
      </c>
    </row>
    <row r="334" spans="1:12" x14ac:dyDescent="0.3">
      <c r="A334" t="s">
        <v>586</v>
      </c>
      <c r="B334" t="s">
        <v>22</v>
      </c>
      <c r="C334" t="s">
        <v>101</v>
      </c>
      <c r="D334" t="s">
        <v>38</v>
      </c>
      <c r="E334" t="s">
        <v>330</v>
      </c>
      <c r="F334" t="s">
        <v>26</v>
      </c>
      <c r="G334" t="s">
        <v>59</v>
      </c>
      <c r="H334" s="1">
        <v>45353</v>
      </c>
      <c r="I334" s="1">
        <v>45353</v>
      </c>
      <c r="J334">
        <f>Sheet1[[#This Row],[Close Date]]-Sheet1[[#This Row],[Open Date]]</f>
        <v>0</v>
      </c>
      <c r="K334" t="str">
        <f>IF(Sheet1[[#This Row],[Actual Days]]&gt;=1,"Not Met","Met")</f>
        <v>Met</v>
      </c>
      <c r="L334" t="str">
        <f>TEXT(Sheet1[[#This Row],[Open Date]],"mmm")</f>
        <v>Mar</v>
      </c>
    </row>
    <row r="335" spans="1:12" x14ac:dyDescent="0.3">
      <c r="A335" t="s">
        <v>587</v>
      </c>
      <c r="B335" t="s">
        <v>42</v>
      </c>
      <c r="C335" t="s">
        <v>107</v>
      </c>
      <c r="D335" t="s">
        <v>38</v>
      </c>
      <c r="E335" t="s">
        <v>332</v>
      </c>
      <c r="F335" t="s">
        <v>26</v>
      </c>
      <c r="G335" t="s">
        <v>59</v>
      </c>
      <c r="H335" s="1">
        <v>45467</v>
      </c>
      <c r="I335" s="1">
        <v>45467</v>
      </c>
      <c r="J335">
        <f>Sheet1[[#This Row],[Close Date]]-Sheet1[[#This Row],[Open Date]]</f>
        <v>0</v>
      </c>
      <c r="K335" t="str">
        <f>IF(Sheet1[[#This Row],[Actual Days]]&gt;=1,"Not Met","Met")</f>
        <v>Met</v>
      </c>
      <c r="L335" t="str">
        <f>TEXT(Sheet1[[#This Row],[Open Date]],"mmm")</f>
        <v>Jun</v>
      </c>
    </row>
    <row r="336" spans="1:12" x14ac:dyDescent="0.3">
      <c r="A336" t="s">
        <v>588</v>
      </c>
      <c r="B336" t="s">
        <v>13</v>
      </c>
      <c r="C336" t="s">
        <v>68</v>
      </c>
      <c r="D336" t="s">
        <v>38</v>
      </c>
      <c r="E336" t="s">
        <v>334</v>
      </c>
      <c r="F336" t="s">
        <v>40</v>
      </c>
      <c r="G336" t="s">
        <v>45</v>
      </c>
      <c r="H336" s="1">
        <v>45352</v>
      </c>
      <c r="I336" s="1">
        <v>45352</v>
      </c>
      <c r="J336">
        <f>Sheet1[[#This Row],[Close Date]]-Sheet1[[#This Row],[Open Date]]</f>
        <v>0</v>
      </c>
      <c r="K336" t="str">
        <f>IF(Sheet1[[#This Row],[Actual Days]]&gt;=1,"Not Met","Met")</f>
        <v>Met</v>
      </c>
      <c r="L336" t="str">
        <f>TEXT(Sheet1[[#This Row],[Open Date]],"mmm")</f>
        <v>Mar</v>
      </c>
    </row>
    <row r="337" spans="1:12" x14ac:dyDescent="0.3">
      <c r="A337" t="s">
        <v>589</v>
      </c>
      <c r="B337" t="s">
        <v>22</v>
      </c>
      <c r="C337" t="s">
        <v>84</v>
      </c>
      <c r="D337" t="s">
        <v>156</v>
      </c>
      <c r="E337" t="s">
        <v>336</v>
      </c>
      <c r="F337" t="s">
        <v>17</v>
      </c>
      <c r="G337" t="s">
        <v>59</v>
      </c>
      <c r="H337" s="1">
        <v>45339</v>
      </c>
      <c r="I337" s="1">
        <v>45339</v>
      </c>
      <c r="J337">
        <f>Sheet1[[#This Row],[Close Date]]-Sheet1[[#This Row],[Open Date]]</f>
        <v>0</v>
      </c>
      <c r="K337" t="str">
        <f>IF(Sheet1[[#This Row],[Actual Days]]&gt;=1,"Not Met","Met")</f>
        <v>Met</v>
      </c>
      <c r="L337" t="str">
        <f>TEXT(Sheet1[[#This Row],[Open Date]],"mmm")</f>
        <v>Feb</v>
      </c>
    </row>
    <row r="338" spans="1:12" x14ac:dyDescent="0.3">
      <c r="A338" t="s">
        <v>590</v>
      </c>
      <c r="B338" t="s">
        <v>13</v>
      </c>
      <c r="C338" t="s">
        <v>14</v>
      </c>
      <c r="D338" t="s">
        <v>38</v>
      </c>
      <c r="E338" t="s">
        <v>338</v>
      </c>
      <c r="F338" t="s">
        <v>40</v>
      </c>
      <c r="G338" t="s">
        <v>49</v>
      </c>
      <c r="H338" s="1">
        <v>45304</v>
      </c>
      <c r="I338" s="1">
        <v>45305</v>
      </c>
      <c r="J338">
        <f>Sheet1[[#This Row],[Close Date]]-Sheet1[[#This Row],[Open Date]]</f>
        <v>1</v>
      </c>
      <c r="K338" t="str">
        <f>IF(Sheet1[[#This Row],[Actual Days]]&gt;=1,"Not Met","Met")</f>
        <v>Not Met</v>
      </c>
      <c r="L338" t="str">
        <f>TEXT(Sheet1[[#This Row],[Open Date]],"mmm")</f>
        <v>Jan</v>
      </c>
    </row>
    <row r="339" spans="1:12" x14ac:dyDescent="0.3">
      <c r="A339" t="s">
        <v>591</v>
      </c>
      <c r="B339" t="s">
        <v>22</v>
      </c>
      <c r="C339" t="s">
        <v>23</v>
      </c>
      <c r="D339" t="s">
        <v>15</v>
      </c>
      <c r="E339" t="s">
        <v>340</v>
      </c>
      <c r="F339" t="s">
        <v>26</v>
      </c>
      <c r="G339" t="s">
        <v>34</v>
      </c>
      <c r="H339" s="1">
        <v>45378</v>
      </c>
      <c r="I339" s="1">
        <v>45378</v>
      </c>
      <c r="J339">
        <f>Sheet1[[#This Row],[Close Date]]-Sheet1[[#This Row],[Open Date]]</f>
        <v>0</v>
      </c>
      <c r="K339" t="str">
        <f>IF(Sheet1[[#This Row],[Actual Days]]&gt;=1,"Not Met","Met")</f>
        <v>Met</v>
      </c>
      <c r="L339" t="str">
        <f>TEXT(Sheet1[[#This Row],[Open Date]],"mmm")</f>
        <v>Mar</v>
      </c>
    </row>
    <row r="340" spans="1:12" x14ac:dyDescent="0.3">
      <c r="A340" t="s">
        <v>592</v>
      </c>
      <c r="B340" t="s">
        <v>36</v>
      </c>
      <c r="C340" t="s">
        <v>37</v>
      </c>
      <c r="D340" t="s">
        <v>156</v>
      </c>
      <c r="E340" t="s">
        <v>342</v>
      </c>
      <c r="F340" t="s">
        <v>26</v>
      </c>
      <c r="G340" t="s">
        <v>59</v>
      </c>
      <c r="H340" s="1">
        <v>45360</v>
      </c>
      <c r="I340" s="1">
        <v>45360</v>
      </c>
      <c r="J340">
        <f>Sheet1[[#This Row],[Close Date]]-Sheet1[[#This Row],[Open Date]]</f>
        <v>0</v>
      </c>
      <c r="K340" t="str">
        <f>IF(Sheet1[[#This Row],[Actual Days]]&gt;=1,"Not Met","Met")</f>
        <v>Met</v>
      </c>
      <c r="L340" t="str">
        <f>TEXT(Sheet1[[#This Row],[Open Date]],"mmm")</f>
        <v>Mar</v>
      </c>
    </row>
    <row r="341" spans="1:12" x14ac:dyDescent="0.3">
      <c r="A341" t="s">
        <v>593</v>
      </c>
      <c r="B341" t="s">
        <v>22</v>
      </c>
      <c r="C341" t="s">
        <v>84</v>
      </c>
      <c r="D341" t="s">
        <v>15</v>
      </c>
      <c r="E341" t="s">
        <v>344</v>
      </c>
      <c r="F341" t="s">
        <v>40</v>
      </c>
      <c r="G341" t="s">
        <v>27</v>
      </c>
      <c r="H341" s="1">
        <v>45405</v>
      </c>
      <c r="I341" s="1">
        <v>45405</v>
      </c>
      <c r="J341">
        <f>Sheet1[[#This Row],[Close Date]]-Sheet1[[#This Row],[Open Date]]</f>
        <v>0</v>
      </c>
      <c r="K341" t="str">
        <f>IF(Sheet1[[#This Row],[Actual Days]]&gt;=1,"Not Met","Met")</f>
        <v>Met</v>
      </c>
      <c r="L341" t="str">
        <f>TEXT(Sheet1[[#This Row],[Open Date]],"mmm")</f>
        <v>Apr</v>
      </c>
    </row>
    <row r="342" spans="1:12" x14ac:dyDescent="0.3">
      <c r="A342" t="s">
        <v>594</v>
      </c>
      <c r="B342" t="s">
        <v>30</v>
      </c>
      <c r="C342" t="s">
        <v>161</v>
      </c>
      <c r="D342" t="s">
        <v>87</v>
      </c>
      <c r="E342" t="s">
        <v>346</v>
      </c>
      <c r="F342" t="s">
        <v>17</v>
      </c>
      <c r="G342" t="s">
        <v>18</v>
      </c>
      <c r="H342" s="1">
        <v>45393</v>
      </c>
      <c r="I342" s="1">
        <v>45393</v>
      </c>
      <c r="J342">
        <f>Sheet1[[#This Row],[Close Date]]-Sheet1[[#This Row],[Open Date]]</f>
        <v>0</v>
      </c>
      <c r="K342" t="str">
        <f>IF(Sheet1[[#This Row],[Actual Days]]&gt;=1,"Not Met","Met")</f>
        <v>Met</v>
      </c>
      <c r="L342" t="str">
        <f>TEXT(Sheet1[[#This Row],[Open Date]],"mmm")</f>
        <v>Apr</v>
      </c>
    </row>
    <row r="343" spans="1:12" x14ac:dyDescent="0.3">
      <c r="A343" t="s">
        <v>595</v>
      </c>
      <c r="B343" t="s">
        <v>22</v>
      </c>
      <c r="C343" t="s">
        <v>84</v>
      </c>
      <c r="D343" t="s">
        <v>87</v>
      </c>
      <c r="E343" t="s">
        <v>596</v>
      </c>
      <c r="F343" t="s">
        <v>26</v>
      </c>
      <c r="G343" t="s">
        <v>49</v>
      </c>
      <c r="H343" s="1">
        <v>45304</v>
      </c>
      <c r="I343" s="1">
        <v>45304</v>
      </c>
      <c r="J343">
        <f>Sheet1[[#This Row],[Close Date]]-Sheet1[[#This Row],[Open Date]]</f>
        <v>0</v>
      </c>
      <c r="K343" t="str">
        <f>IF(Sheet1[[#This Row],[Actual Days]]&gt;=1,"Not Met","Met")</f>
        <v>Met</v>
      </c>
      <c r="L343" t="str">
        <f>TEXT(Sheet1[[#This Row],[Open Date]],"mmm")</f>
        <v>Jan</v>
      </c>
    </row>
    <row r="344" spans="1:12" x14ac:dyDescent="0.3">
      <c r="A344" t="s">
        <v>597</v>
      </c>
      <c r="B344" t="s">
        <v>22</v>
      </c>
      <c r="C344" t="s">
        <v>84</v>
      </c>
      <c r="D344" t="s">
        <v>94</v>
      </c>
      <c r="E344" t="s">
        <v>348</v>
      </c>
      <c r="F344" t="s">
        <v>40</v>
      </c>
      <c r="G344" t="s">
        <v>34</v>
      </c>
      <c r="H344" s="1">
        <v>45375</v>
      </c>
      <c r="I344" s="1">
        <v>45375</v>
      </c>
      <c r="J344">
        <f>Sheet1[[#This Row],[Close Date]]-Sheet1[[#This Row],[Open Date]]</f>
        <v>0</v>
      </c>
      <c r="K344" t="str">
        <f>IF(Sheet1[[#This Row],[Actual Days]]&gt;=1,"Not Met","Met")</f>
        <v>Met</v>
      </c>
      <c r="L344" t="str">
        <f>TEXT(Sheet1[[#This Row],[Open Date]],"mmm")</f>
        <v>Mar</v>
      </c>
    </row>
    <row r="345" spans="1:12" x14ac:dyDescent="0.3">
      <c r="A345" t="s">
        <v>598</v>
      </c>
      <c r="B345" t="s">
        <v>13</v>
      </c>
      <c r="C345" t="s">
        <v>68</v>
      </c>
      <c r="D345" t="s">
        <v>156</v>
      </c>
      <c r="E345" t="s">
        <v>350</v>
      </c>
      <c r="F345" t="s">
        <v>17</v>
      </c>
      <c r="G345" t="s">
        <v>59</v>
      </c>
      <c r="H345" s="1">
        <v>45315</v>
      </c>
      <c r="I345" s="1">
        <v>45315</v>
      </c>
      <c r="J345">
        <f>Sheet1[[#This Row],[Close Date]]-Sheet1[[#This Row],[Open Date]]</f>
        <v>0</v>
      </c>
      <c r="K345" t="str">
        <f>IF(Sheet1[[#This Row],[Actual Days]]&gt;=1,"Not Met","Met")</f>
        <v>Met</v>
      </c>
      <c r="L345" t="str">
        <f>TEXT(Sheet1[[#This Row],[Open Date]],"mmm")</f>
        <v>Jan</v>
      </c>
    </row>
    <row r="346" spans="1:12" x14ac:dyDescent="0.3">
      <c r="A346" t="s">
        <v>599</v>
      </c>
      <c r="B346" t="s">
        <v>36</v>
      </c>
      <c r="C346" t="s">
        <v>76</v>
      </c>
      <c r="D346" t="s">
        <v>32</v>
      </c>
      <c r="E346" t="s">
        <v>352</v>
      </c>
      <c r="F346" t="s">
        <v>40</v>
      </c>
      <c r="G346" t="s">
        <v>27</v>
      </c>
      <c r="H346" s="1">
        <v>45399</v>
      </c>
      <c r="I346" s="1">
        <v>45399</v>
      </c>
      <c r="J346">
        <f>Sheet1[[#This Row],[Close Date]]-Sheet1[[#This Row],[Open Date]]</f>
        <v>0</v>
      </c>
      <c r="K346" t="str">
        <f>IF(Sheet1[[#This Row],[Actual Days]]&gt;=1,"Not Met","Met")</f>
        <v>Met</v>
      </c>
      <c r="L346" t="str">
        <f>TEXT(Sheet1[[#This Row],[Open Date]],"mmm")</f>
        <v>Apr</v>
      </c>
    </row>
    <row r="347" spans="1:12" x14ac:dyDescent="0.3">
      <c r="A347" t="s">
        <v>600</v>
      </c>
      <c r="B347" t="s">
        <v>36</v>
      </c>
      <c r="C347" t="s">
        <v>76</v>
      </c>
      <c r="D347" t="s">
        <v>38</v>
      </c>
      <c r="E347" t="s">
        <v>354</v>
      </c>
      <c r="F347" t="s">
        <v>40</v>
      </c>
      <c r="G347" t="s">
        <v>59</v>
      </c>
      <c r="H347" s="1">
        <v>45425</v>
      </c>
      <c r="I347" s="1">
        <v>45425</v>
      </c>
      <c r="J347">
        <f>Sheet1[[#This Row],[Close Date]]-Sheet1[[#This Row],[Open Date]]</f>
        <v>0</v>
      </c>
      <c r="K347" t="str">
        <f>IF(Sheet1[[#This Row],[Actual Days]]&gt;=1,"Not Met","Met")</f>
        <v>Met</v>
      </c>
      <c r="L347" t="str">
        <f>TEXT(Sheet1[[#This Row],[Open Date]],"mmm")</f>
        <v>May</v>
      </c>
    </row>
    <row r="348" spans="1:12" x14ac:dyDescent="0.3">
      <c r="A348" t="s">
        <v>601</v>
      </c>
      <c r="B348" t="s">
        <v>42</v>
      </c>
      <c r="C348" t="s">
        <v>43</v>
      </c>
      <c r="D348" t="s">
        <v>87</v>
      </c>
      <c r="E348" t="s">
        <v>356</v>
      </c>
      <c r="F348" t="s">
        <v>26</v>
      </c>
      <c r="G348" t="s">
        <v>49</v>
      </c>
      <c r="H348" s="1">
        <v>45405</v>
      </c>
      <c r="I348" s="1">
        <v>45405</v>
      </c>
      <c r="J348">
        <f>Sheet1[[#This Row],[Close Date]]-Sheet1[[#This Row],[Open Date]]</f>
        <v>0</v>
      </c>
      <c r="K348" t="str">
        <f>IF(Sheet1[[#This Row],[Actual Days]]&gt;=1,"Not Met","Met")</f>
        <v>Met</v>
      </c>
      <c r="L348" t="str">
        <f>TEXT(Sheet1[[#This Row],[Open Date]],"mmm")</f>
        <v>Apr</v>
      </c>
    </row>
    <row r="349" spans="1:12" x14ac:dyDescent="0.3">
      <c r="A349" t="s">
        <v>602</v>
      </c>
      <c r="B349" t="s">
        <v>13</v>
      </c>
      <c r="C349" t="s">
        <v>14</v>
      </c>
      <c r="D349" t="s">
        <v>15</v>
      </c>
      <c r="E349" t="s">
        <v>358</v>
      </c>
      <c r="F349" t="s">
        <v>40</v>
      </c>
      <c r="G349" t="s">
        <v>59</v>
      </c>
      <c r="H349" s="1">
        <v>45333</v>
      </c>
      <c r="I349" s="1">
        <v>45333</v>
      </c>
      <c r="J349">
        <f>Sheet1[[#This Row],[Close Date]]-Sheet1[[#This Row],[Open Date]]</f>
        <v>0</v>
      </c>
      <c r="K349" t="str">
        <f>IF(Sheet1[[#This Row],[Actual Days]]&gt;=1,"Not Met","Met")</f>
        <v>Met</v>
      </c>
      <c r="L349" t="str">
        <f>TEXT(Sheet1[[#This Row],[Open Date]],"mmm")</f>
        <v>Feb</v>
      </c>
    </row>
    <row r="350" spans="1:12" x14ac:dyDescent="0.3">
      <c r="A350" t="s">
        <v>603</v>
      </c>
      <c r="B350" t="s">
        <v>36</v>
      </c>
      <c r="C350" t="s">
        <v>37</v>
      </c>
      <c r="D350" t="s">
        <v>156</v>
      </c>
      <c r="E350" t="s">
        <v>360</v>
      </c>
      <c r="F350" t="s">
        <v>17</v>
      </c>
      <c r="G350" t="s">
        <v>18</v>
      </c>
      <c r="H350" s="1">
        <v>45379</v>
      </c>
      <c r="I350" s="1">
        <v>45379</v>
      </c>
      <c r="J350">
        <f>Sheet1[[#This Row],[Close Date]]-Sheet1[[#This Row],[Open Date]]</f>
        <v>0</v>
      </c>
      <c r="K350" t="str">
        <f>IF(Sheet1[[#This Row],[Actual Days]]&gt;=1,"Not Met","Met")</f>
        <v>Met</v>
      </c>
      <c r="L350" t="str">
        <f>TEXT(Sheet1[[#This Row],[Open Date]],"mmm")</f>
        <v>Mar</v>
      </c>
    </row>
    <row r="351" spans="1:12" x14ac:dyDescent="0.3">
      <c r="A351" t="s">
        <v>604</v>
      </c>
      <c r="B351" t="s">
        <v>22</v>
      </c>
      <c r="C351" t="s">
        <v>84</v>
      </c>
      <c r="D351" t="s">
        <v>87</v>
      </c>
      <c r="E351" t="s">
        <v>362</v>
      </c>
      <c r="F351" t="s">
        <v>17</v>
      </c>
      <c r="G351" t="s">
        <v>45</v>
      </c>
      <c r="H351" s="1">
        <v>45447</v>
      </c>
      <c r="I351" s="1">
        <v>45447</v>
      </c>
      <c r="J351">
        <f>Sheet1[[#This Row],[Close Date]]-Sheet1[[#This Row],[Open Date]]</f>
        <v>0</v>
      </c>
      <c r="K351" t="str">
        <f>IF(Sheet1[[#This Row],[Actual Days]]&gt;=1,"Not Met","Met")</f>
        <v>Met</v>
      </c>
      <c r="L351" t="str">
        <f>TEXT(Sheet1[[#This Row],[Open Date]],"mmm")</f>
        <v>Jun</v>
      </c>
    </row>
    <row r="352" spans="1:12" x14ac:dyDescent="0.3">
      <c r="A352" t="s">
        <v>605</v>
      </c>
      <c r="B352" t="s">
        <v>42</v>
      </c>
      <c r="C352" t="s">
        <v>107</v>
      </c>
      <c r="D352" t="s">
        <v>38</v>
      </c>
      <c r="E352" t="s">
        <v>364</v>
      </c>
      <c r="F352" t="s">
        <v>26</v>
      </c>
      <c r="G352" t="s">
        <v>59</v>
      </c>
      <c r="H352" s="1">
        <v>45367</v>
      </c>
      <c r="I352" s="1">
        <v>45367</v>
      </c>
      <c r="J352">
        <f>Sheet1[[#This Row],[Close Date]]-Sheet1[[#This Row],[Open Date]]</f>
        <v>0</v>
      </c>
      <c r="K352" t="str">
        <f>IF(Sheet1[[#This Row],[Actual Days]]&gt;=1,"Not Met","Met")</f>
        <v>Met</v>
      </c>
      <c r="L352" t="str">
        <f>TEXT(Sheet1[[#This Row],[Open Date]],"mmm")</f>
        <v>Mar</v>
      </c>
    </row>
    <row r="353" spans="1:12" x14ac:dyDescent="0.3">
      <c r="A353" t="s">
        <v>606</v>
      </c>
      <c r="B353" t="s">
        <v>36</v>
      </c>
      <c r="C353" t="s">
        <v>62</v>
      </c>
      <c r="D353" t="s">
        <v>38</v>
      </c>
      <c r="E353" t="s">
        <v>366</v>
      </c>
      <c r="F353" t="s">
        <v>26</v>
      </c>
      <c r="G353" t="s">
        <v>34</v>
      </c>
      <c r="H353" s="1">
        <v>45417</v>
      </c>
      <c r="I353" s="1">
        <v>45417</v>
      </c>
      <c r="J353">
        <f>Sheet1[[#This Row],[Close Date]]-Sheet1[[#This Row],[Open Date]]</f>
        <v>0</v>
      </c>
      <c r="K353" t="str">
        <f>IF(Sheet1[[#This Row],[Actual Days]]&gt;=1,"Not Met","Met")</f>
        <v>Met</v>
      </c>
      <c r="L353" t="str">
        <f>TEXT(Sheet1[[#This Row],[Open Date]],"mmm")</f>
        <v>May</v>
      </c>
    </row>
    <row r="354" spans="1:12" x14ac:dyDescent="0.3">
      <c r="A354" t="s">
        <v>607</v>
      </c>
      <c r="B354" t="s">
        <v>42</v>
      </c>
      <c r="C354" t="s">
        <v>107</v>
      </c>
      <c r="D354" t="s">
        <v>15</v>
      </c>
      <c r="E354" t="s">
        <v>368</v>
      </c>
      <c r="F354" t="s">
        <v>40</v>
      </c>
      <c r="G354" t="s">
        <v>27</v>
      </c>
      <c r="H354" s="1">
        <v>45384</v>
      </c>
      <c r="I354" s="1">
        <v>45384</v>
      </c>
      <c r="J354">
        <f>Sheet1[[#This Row],[Close Date]]-Sheet1[[#This Row],[Open Date]]</f>
        <v>0</v>
      </c>
      <c r="K354" t="str">
        <f>IF(Sheet1[[#This Row],[Actual Days]]&gt;=1,"Not Met","Met")</f>
        <v>Met</v>
      </c>
      <c r="L354" t="str">
        <f>TEXT(Sheet1[[#This Row],[Open Date]],"mmm")</f>
        <v>Apr</v>
      </c>
    </row>
    <row r="355" spans="1:12" x14ac:dyDescent="0.3">
      <c r="A355" t="s">
        <v>608</v>
      </c>
      <c r="B355" t="s">
        <v>36</v>
      </c>
      <c r="C355" t="s">
        <v>37</v>
      </c>
      <c r="D355" t="s">
        <v>24</v>
      </c>
      <c r="E355" t="s">
        <v>370</v>
      </c>
      <c r="F355" t="s">
        <v>40</v>
      </c>
      <c r="G355" t="s">
        <v>45</v>
      </c>
      <c r="H355" s="1">
        <v>45311</v>
      </c>
      <c r="I355" s="1">
        <v>45311</v>
      </c>
      <c r="J355">
        <f>Sheet1[[#This Row],[Close Date]]-Sheet1[[#This Row],[Open Date]]</f>
        <v>0</v>
      </c>
      <c r="K355" t="str">
        <f>IF(Sheet1[[#This Row],[Actual Days]]&gt;=1,"Not Met","Met")</f>
        <v>Met</v>
      </c>
      <c r="L355" t="str">
        <f>TEXT(Sheet1[[#This Row],[Open Date]],"mmm")</f>
        <v>Jan</v>
      </c>
    </row>
    <row r="356" spans="1:12" x14ac:dyDescent="0.3">
      <c r="A356" t="s">
        <v>609</v>
      </c>
      <c r="B356" t="s">
        <v>13</v>
      </c>
      <c r="C356" t="s">
        <v>68</v>
      </c>
      <c r="D356" t="s">
        <v>15</v>
      </c>
      <c r="E356" t="s">
        <v>372</v>
      </c>
      <c r="F356" t="s">
        <v>26</v>
      </c>
      <c r="G356" t="s">
        <v>27</v>
      </c>
      <c r="H356" s="1">
        <v>45446</v>
      </c>
      <c r="I356" s="1">
        <v>45446</v>
      </c>
      <c r="J356">
        <f>Sheet1[[#This Row],[Close Date]]-Sheet1[[#This Row],[Open Date]]</f>
        <v>0</v>
      </c>
      <c r="K356" t="str">
        <f>IF(Sheet1[[#This Row],[Actual Days]]&gt;=1,"Not Met","Met")</f>
        <v>Met</v>
      </c>
      <c r="L356" t="str">
        <f>TEXT(Sheet1[[#This Row],[Open Date]],"mmm")</f>
        <v>Jun</v>
      </c>
    </row>
    <row r="357" spans="1:12" x14ac:dyDescent="0.3">
      <c r="A357" t="s">
        <v>610</v>
      </c>
      <c r="B357" t="s">
        <v>13</v>
      </c>
      <c r="C357" t="s">
        <v>68</v>
      </c>
      <c r="D357" t="s">
        <v>87</v>
      </c>
      <c r="E357" t="s">
        <v>374</v>
      </c>
      <c r="F357" t="s">
        <v>17</v>
      </c>
      <c r="G357" t="s">
        <v>18</v>
      </c>
      <c r="H357" s="1">
        <v>45370</v>
      </c>
      <c r="I357" s="1">
        <v>45370</v>
      </c>
      <c r="J357">
        <f>Sheet1[[#This Row],[Close Date]]-Sheet1[[#This Row],[Open Date]]</f>
        <v>0</v>
      </c>
      <c r="K357" t="str">
        <f>IF(Sheet1[[#This Row],[Actual Days]]&gt;=1,"Not Met","Met")</f>
        <v>Met</v>
      </c>
      <c r="L357" t="str">
        <f>TEXT(Sheet1[[#This Row],[Open Date]],"mmm")</f>
        <v>Mar</v>
      </c>
    </row>
    <row r="358" spans="1:12" x14ac:dyDescent="0.3">
      <c r="A358" t="s">
        <v>611</v>
      </c>
      <c r="B358" t="s">
        <v>13</v>
      </c>
      <c r="C358" t="s">
        <v>65</v>
      </c>
      <c r="D358" t="s">
        <v>38</v>
      </c>
      <c r="E358" t="s">
        <v>376</v>
      </c>
      <c r="F358" t="s">
        <v>17</v>
      </c>
      <c r="G358" t="s">
        <v>59</v>
      </c>
      <c r="H358" s="1">
        <v>45377</v>
      </c>
      <c r="I358" s="1">
        <v>45377</v>
      </c>
      <c r="J358">
        <f>Sheet1[[#This Row],[Close Date]]-Sheet1[[#This Row],[Open Date]]</f>
        <v>0</v>
      </c>
      <c r="K358" t="str">
        <f>IF(Sheet1[[#This Row],[Actual Days]]&gt;=1,"Not Met","Met")</f>
        <v>Met</v>
      </c>
      <c r="L358" t="str">
        <f>TEXT(Sheet1[[#This Row],[Open Date]],"mmm")</f>
        <v>Mar</v>
      </c>
    </row>
    <row r="359" spans="1:12" x14ac:dyDescent="0.3">
      <c r="A359" t="s">
        <v>612</v>
      </c>
      <c r="B359" t="s">
        <v>30</v>
      </c>
      <c r="C359" t="s">
        <v>51</v>
      </c>
      <c r="D359" t="s">
        <v>32</v>
      </c>
      <c r="E359" t="s">
        <v>378</v>
      </c>
      <c r="F359" t="s">
        <v>17</v>
      </c>
      <c r="G359" t="s">
        <v>18</v>
      </c>
      <c r="H359" s="1">
        <v>45362</v>
      </c>
      <c r="I359" s="1">
        <v>45362</v>
      </c>
      <c r="J359">
        <f>Sheet1[[#This Row],[Close Date]]-Sheet1[[#This Row],[Open Date]]</f>
        <v>0</v>
      </c>
      <c r="K359" t="str">
        <f>IF(Sheet1[[#This Row],[Actual Days]]&gt;=1,"Not Met","Met")</f>
        <v>Met</v>
      </c>
      <c r="L359" t="str">
        <f>TEXT(Sheet1[[#This Row],[Open Date]],"mmm")</f>
        <v>Mar</v>
      </c>
    </row>
    <row r="360" spans="1:12" x14ac:dyDescent="0.3">
      <c r="A360" t="s">
        <v>613</v>
      </c>
      <c r="B360" t="s">
        <v>22</v>
      </c>
      <c r="C360" t="s">
        <v>23</v>
      </c>
      <c r="D360" t="s">
        <v>15</v>
      </c>
      <c r="E360" t="s">
        <v>380</v>
      </c>
      <c r="F360" t="s">
        <v>40</v>
      </c>
      <c r="G360" t="s">
        <v>45</v>
      </c>
      <c r="H360" s="1">
        <v>45437</v>
      </c>
      <c r="I360" s="1">
        <v>45437</v>
      </c>
      <c r="J360">
        <f>Sheet1[[#This Row],[Close Date]]-Sheet1[[#This Row],[Open Date]]</f>
        <v>0</v>
      </c>
      <c r="K360" t="str">
        <f>IF(Sheet1[[#This Row],[Actual Days]]&gt;=1,"Not Met","Met")</f>
        <v>Met</v>
      </c>
      <c r="L360" t="str">
        <f>TEXT(Sheet1[[#This Row],[Open Date]],"mmm")</f>
        <v>May</v>
      </c>
    </row>
    <row r="361" spans="1:12" x14ac:dyDescent="0.3">
      <c r="A361" t="s">
        <v>614</v>
      </c>
      <c r="B361" t="s">
        <v>30</v>
      </c>
      <c r="C361" t="s">
        <v>51</v>
      </c>
      <c r="D361" t="s">
        <v>15</v>
      </c>
      <c r="E361" t="s">
        <v>382</v>
      </c>
      <c r="F361" t="s">
        <v>40</v>
      </c>
      <c r="G361" t="s">
        <v>18</v>
      </c>
      <c r="H361" s="1">
        <v>45296</v>
      </c>
      <c r="I361" s="1">
        <v>45296</v>
      </c>
      <c r="J361">
        <f>Sheet1[[#This Row],[Close Date]]-Sheet1[[#This Row],[Open Date]]</f>
        <v>0</v>
      </c>
      <c r="K361" t="str">
        <f>IF(Sheet1[[#This Row],[Actual Days]]&gt;=1,"Not Met","Met")</f>
        <v>Met</v>
      </c>
      <c r="L361" t="str">
        <f>TEXT(Sheet1[[#This Row],[Open Date]],"mmm")</f>
        <v>Jan</v>
      </c>
    </row>
    <row r="362" spans="1:12" x14ac:dyDescent="0.3">
      <c r="A362" t="s">
        <v>615</v>
      </c>
      <c r="B362" t="s">
        <v>42</v>
      </c>
      <c r="C362" t="s">
        <v>107</v>
      </c>
      <c r="D362" t="s">
        <v>38</v>
      </c>
      <c r="E362" t="s">
        <v>384</v>
      </c>
      <c r="F362" t="s">
        <v>40</v>
      </c>
      <c r="G362" t="s">
        <v>34</v>
      </c>
      <c r="H362" s="1">
        <v>45304</v>
      </c>
      <c r="I362" s="1">
        <v>45304</v>
      </c>
      <c r="J362">
        <f>Sheet1[[#This Row],[Close Date]]-Sheet1[[#This Row],[Open Date]]</f>
        <v>0</v>
      </c>
      <c r="K362" t="str">
        <f>IF(Sheet1[[#This Row],[Actual Days]]&gt;=1,"Not Met","Met")</f>
        <v>Met</v>
      </c>
      <c r="L362" t="str">
        <f>TEXT(Sheet1[[#This Row],[Open Date]],"mmm")</f>
        <v>Jan</v>
      </c>
    </row>
    <row r="363" spans="1:12" x14ac:dyDescent="0.3">
      <c r="A363" t="s">
        <v>616</v>
      </c>
      <c r="B363" t="s">
        <v>22</v>
      </c>
      <c r="C363" t="s">
        <v>101</v>
      </c>
      <c r="D363" t="s">
        <v>73</v>
      </c>
      <c r="E363" t="s">
        <v>386</v>
      </c>
      <c r="F363" t="s">
        <v>40</v>
      </c>
      <c r="G363" t="s">
        <v>59</v>
      </c>
      <c r="H363" s="1">
        <v>45403</v>
      </c>
      <c r="I363" s="1">
        <v>45403</v>
      </c>
      <c r="J363">
        <f>Sheet1[[#This Row],[Close Date]]-Sheet1[[#This Row],[Open Date]]</f>
        <v>0</v>
      </c>
      <c r="K363" t="str">
        <f>IF(Sheet1[[#This Row],[Actual Days]]&gt;=1,"Not Met","Met")</f>
        <v>Met</v>
      </c>
      <c r="L363" t="str">
        <f>TEXT(Sheet1[[#This Row],[Open Date]],"mmm")</f>
        <v>Apr</v>
      </c>
    </row>
    <row r="364" spans="1:12" x14ac:dyDescent="0.3">
      <c r="A364" t="s">
        <v>617</v>
      </c>
      <c r="B364" t="s">
        <v>36</v>
      </c>
      <c r="C364" t="s">
        <v>37</v>
      </c>
      <c r="D364" t="s">
        <v>38</v>
      </c>
      <c r="E364" t="s">
        <v>388</v>
      </c>
      <c r="F364" t="s">
        <v>26</v>
      </c>
      <c r="G364" t="s">
        <v>34</v>
      </c>
      <c r="H364" s="1">
        <v>45399</v>
      </c>
      <c r="I364" s="1">
        <v>45399</v>
      </c>
      <c r="J364">
        <f>Sheet1[[#This Row],[Close Date]]-Sheet1[[#This Row],[Open Date]]</f>
        <v>0</v>
      </c>
      <c r="K364" t="str">
        <f>IF(Sheet1[[#This Row],[Actual Days]]&gt;=1,"Not Met","Met")</f>
        <v>Met</v>
      </c>
      <c r="L364" t="str">
        <f>TEXT(Sheet1[[#This Row],[Open Date]],"mmm")</f>
        <v>Apr</v>
      </c>
    </row>
    <row r="365" spans="1:12" x14ac:dyDescent="0.3">
      <c r="A365" t="s">
        <v>618</v>
      </c>
      <c r="B365" t="s">
        <v>30</v>
      </c>
      <c r="C365" t="s">
        <v>51</v>
      </c>
      <c r="D365" t="s">
        <v>38</v>
      </c>
      <c r="E365" t="s">
        <v>390</v>
      </c>
      <c r="F365" t="s">
        <v>17</v>
      </c>
      <c r="G365" t="s">
        <v>59</v>
      </c>
      <c r="H365" s="1">
        <v>45381</v>
      </c>
      <c r="I365" s="1">
        <v>45381</v>
      </c>
      <c r="J365">
        <f>Sheet1[[#This Row],[Close Date]]-Sheet1[[#This Row],[Open Date]]</f>
        <v>0</v>
      </c>
      <c r="K365" t="str">
        <f>IF(Sheet1[[#This Row],[Actual Days]]&gt;=1,"Not Met","Met")</f>
        <v>Met</v>
      </c>
      <c r="L365" t="str">
        <f>TEXT(Sheet1[[#This Row],[Open Date]],"mmm")</f>
        <v>Mar</v>
      </c>
    </row>
    <row r="366" spans="1:12" x14ac:dyDescent="0.3">
      <c r="A366" t="s">
        <v>619</v>
      </c>
      <c r="B366" t="s">
        <v>22</v>
      </c>
      <c r="C366" t="s">
        <v>23</v>
      </c>
      <c r="D366" t="s">
        <v>32</v>
      </c>
      <c r="E366" t="s">
        <v>392</v>
      </c>
      <c r="F366" t="s">
        <v>17</v>
      </c>
      <c r="G366" t="s">
        <v>27</v>
      </c>
      <c r="H366" s="1">
        <v>45343</v>
      </c>
      <c r="I366" s="1">
        <v>45343</v>
      </c>
      <c r="J366">
        <f>Sheet1[[#This Row],[Close Date]]-Sheet1[[#This Row],[Open Date]]</f>
        <v>0</v>
      </c>
      <c r="K366" t="str">
        <f>IF(Sheet1[[#This Row],[Actual Days]]&gt;=1,"Not Met","Met")</f>
        <v>Met</v>
      </c>
      <c r="L366" t="str">
        <f>TEXT(Sheet1[[#This Row],[Open Date]],"mmm")</f>
        <v>Feb</v>
      </c>
    </row>
    <row r="367" spans="1:12" x14ac:dyDescent="0.3">
      <c r="A367" t="s">
        <v>620</v>
      </c>
      <c r="B367" t="s">
        <v>22</v>
      </c>
      <c r="C367" t="s">
        <v>23</v>
      </c>
      <c r="D367" t="s">
        <v>15</v>
      </c>
      <c r="E367" t="s">
        <v>394</v>
      </c>
      <c r="F367" t="s">
        <v>26</v>
      </c>
      <c r="G367" t="s">
        <v>27</v>
      </c>
      <c r="H367" s="1">
        <v>45346</v>
      </c>
      <c r="I367" s="1">
        <v>45346</v>
      </c>
      <c r="J367">
        <f>Sheet1[[#This Row],[Close Date]]-Sheet1[[#This Row],[Open Date]]</f>
        <v>0</v>
      </c>
      <c r="K367" t="str">
        <f>IF(Sheet1[[#This Row],[Actual Days]]&gt;=1,"Not Met","Met")</f>
        <v>Met</v>
      </c>
      <c r="L367" t="str">
        <f>TEXT(Sheet1[[#This Row],[Open Date]],"mmm")</f>
        <v>Feb</v>
      </c>
    </row>
    <row r="368" spans="1:12" x14ac:dyDescent="0.3">
      <c r="A368" t="s">
        <v>621</v>
      </c>
      <c r="B368" t="s">
        <v>36</v>
      </c>
      <c r="C368" t="s">
        <v>37</v>
      </c>
      <c r="D368" t="s">
        <v>32</v>
      </c>
      <c r="E368" t="s">
        <v>396</v>
      </c>
      <c r="F368" t="s">
        <v>17</v>
      </c>
      <c r="G368" t="s">
        <v>34</v>
      </c>
      <c r="H368" s="1">
        <v>45307</v>
      </c>
      <c r="I368" s="1">
        <v>45308</v>
      </c>
      <c r="J368">
        <f>Sheet1[[#This Row],[Close Date]]-Sheet1[[#This Row],[Open Date]]</f>
        <v>1</v>
      </c>
      <c r="K368" t="str">
        <f>IF(Sheet1[[#This Row],[Actual Days]]&gt;=1,"Not Met","Met")</f>
        <v>Not Met</v>
      </c>
      <c r="L368" t="str">
        <f>TEXT(Sheet1[[#This Row],[Open Date]],"mmm")</f>
        <v>Jan</v>
      </c>
    </row>
    <row r="369" spans="1:12" x14ac:dyDescent="0.3">
      <c r="A369" t="s">
        <v>622</v>
      </c>
      <c r="B369" t="s">
        <v>13</v>
      </c>
      <c r="C369" t="s">
        <v>65</v>
      </c>
      <c r="D369" t="s">
        <v>38</v>
      </c>
      <c r="E369" t="s">
        <v>398</v>
      </c>
      <c r="F369" t="s">
        <v>40</v>
      </c>
      <c r="G369" t="s">
        <v>27</v>
      </c>
      <c r="H369" s="1">
        <v>45305</v>
      </c>
      <c r="I369" s="1">
        <v>45305</v>
      </c>
      <c r="J369">
        <f>Sheet1[[#This Row],[Close Date]]-Sheet1[[#This Row],[Open Date]]</f>
        <v>0</v>
      </c>
      <c r="K369" t="str">
        <f>IF(Sheet1[[#This Row],[Actual Days]]&gt;=1,"Not Met","Met")</f>
        <v>Met</v>
      </c>
      <c r="L369" t="str">
        <f>TEXT(Sheet1[[#This Row],[Open Date]],"mmm")</f>
        <v>Jan</v>
      </c>
    </row>
    <row r="370" spans="1:12" x14ac:dyDescent="0.3">
      <c r="A370" t="s">
        <v>623</v>
      </c>
      <c r="B370" t="s">
        <v>42</v>
      </c>
      <c r="C370" t="s">
        <v>104</v>
      </c>
      <c r="D370" t="s">
        <v>156</v>
      </c>
      <c r="E370" t="s">
        <v>400</v>
      </c>
      <c r="F370" t="s">
        <v>26</v>
      </c>
      <c r="G370" t="s">
        <v>34</v>
      </c>
      <c r="H370" s="1">
        <v>45471</v>
      </c>
      <c r="I370" s="1">
        <v>45471</v>
      </c>
      <c r="J370">
        <f>Sheet1[[#This Row],[Close Date]]-Sheet1[[#This Row],[Open Date]]</f>
        <v>0</v>
      </c>
      <c r="K370" t="str">
        <f>IF(Sheet1[[#This Row],[Actual Days]]&gt;=1,"Not Met","Met")</f>
        <v>Met</v>
      </c>
      <c r="L370" t="str">
        <f>TEXT(Sheet1[[#This Row],[Open Date]],"mmm")</f>
        <v>Jun</v>
      </c>
    </row>
    <row r="371" spans="1:12" x14ac:dyDescent="0.3">
      <c r="A371" t="s">
        <v>624</v>
      </c>
      <c r="B371" t="s">
        <v>42</v>
      </c>
      <c r="C371" t="s">
        <v>43</v>
      </c>
      <c r="D371" t="s">
        <v>73</v>
      </c>
      <c r="E371" t="s">
        <v>402</v>
      </c>
      <c r="F371" t="s">
        <v>26</v>
      </c>
      <c r="G371" t="s">
        <v>27</v>
      </c>
      <c r="H371" s="1">
        <v>45451</v>
      </c>
      <c r="I371" s="1">
        <v>45451</v>
      </c>
      <c r="J371">
        <f>Sheet1[[#This Row],[Close Date]]-Sheet1[[#This Row],[Open Date]]</f>
        <v>0</v>
      </c>
      <c r="K371" t="str">
        <f>IF(Sheet1[[#This Row],[Actual Days]]&gt;=1,"Not Met","Met")</f>
        <v>Met</v>
      </c>
      <c r="L371" t="str">
        <f>TEXT(Sheet1[[#This Row],[Open Date]],"mmm")</f>
        <v>Jun</v>
      </c>
    </row>
    <row r="372" spans="1:12" x14ac:dyDescent="0.3">
      <c r="A372" t="s">
        <v>625</v>
      </c>
      <c r="B372" t="s">
        <v>13</v>
      </c>
      <c r="C372" t="s">
        <v>14</v>
      </c>
      <c r="D372" t="s">
        <v>24</v>
      </c>
      <c r="E372" t="s">
        <v>404</v>
      </c>
      <c r="F372" t="s">
        <v>17</v>
      </c>
      <c r="G372" t="s">
        <v>34</v>
      </c>
      <c r="H372" s="1">
        <v>45442</v>
      </c>
      <c r="I372" s="1">
        <v>45442</v>
      </c>
      <c r="J372">
        <f>Sheet1[[#This Row],[Close Date]]-Sheet1[[#This Row],[Open Date]]</f>
        <v>0</v>
      </c>
      <c r="K372" t="str">
        <f>IF(Sheet1[[#This Row],[Actual Days]]&gt;=1,"Not Met","Met")</f>
        <v>Met</v>
      </c>
      <c r="L372" t="str">
        <f>TEXT(Sheet1[[#This Row],[Open Date]],"mmm")</f>
        <v>May</v>
      </c>
    </row>
    <row r="373" spans="1:12" x14ac:dyDescent="0.3">
      <c r="A373" t="s">
        <v>626</v>
      </c>
      <c r="B373" t="s">
        <v>22</v>
      </c>
      <c r="C373" t="s">
        <v>84</v>
      </c>
      <c r="D373" t="s">
        <v>73</v>
      </c>
      <c r="E373" t="s">
        <v>406</v>
      </c>
      <c r="F373" t="s">
        <v>40</v>
      </c>
      <c r="G373" t="s">
        <v>49</v>
      </c>
      <c r="H373" s="1">
        <v>45382</v>
      </c>
      <c r="I373" s="1">
        <v>45382</v>
      </c>
      <c r="J373">
        <f>Sheet1[[#This Row],[Close Date]]-Sheet1[[#This Row],[Open Date]]</f>
        <v>0</v>
      </c>
      <c r="K373" t="str">
        <f>IF(Sheet1[[#This Row],[Actual Days]]&gt;=1,"Not Met","Met")</f>
        <v>Met</v>
      </c>
      <c r="L373" t="str">
        <f>TEXT(Sheet1[[#This Row],[Open Date]],"mmm")</f>
        <v>Mar</v>
      </c>
    </row>
    <row r="374" spans="1:12" x14ac:dyDescent="0.3">
      <c r="A374" t="s">
        <v>627</v>
      </c>
      <c r="B374" t="s">
        <v>13</v>
      </c>
      <c r="C374" t="s">
        <v>68</v>
      </c>
      <c r="D374" t="s">
        <v>38</v>
      </c>
      <c r="E374" t="s">
        <v>408</v>
      </c>
      <c r="F374" t="s">
        <v>26</v>
      </c>
      <c r="G374" t="s">
        <v>49</v>
      </c>
      <c r="H374" s="1">
        <v>45434</v>
      </c>
      <c r="I374" s="1">
        <v>45434</v>
      </c>
      <c r="J374">
        <f>Sheet1[[#This Row],[Close Date]]-Sheet1[[#This Row],[Open Date]]</f>
        <v>0</v>
      </c>
      <c r="K374" t="str">
        <f>IF(Sheet1[[#This Row],[Actual Days]]&gt;=1,"Not Met","Met")</f>
        <v>Met</v>
      </c>
      <c r="L374" t="str">
        <f>TEXT(Sheet1[[#This Row],[Open Date]],"mmm")</f>
        <v>May</v>
      </c>
    </row>
    <row r="375" spans="1:12" x14ac:dyDescent="0.3">
      <c r="A375" t="s">
        <v>628</v>
      </c>
      <c r="B375" t="s">
        <v>42</v>
      </c>
      <c r="C375" t="s">
        <v>107</v>
      </c>
      <c r="D375" t="s">
        <v>156</v>
      </c>
      <c r="E375" t="s">
        <v>410</v>
      </c>
      <c r="F375" t="s">
        <v>40</v>
      </c>
      <c r="G375" t="s">
        <v>49</v>
      </c>
      <c r="H375" s="1">
        <v>45328</v>
      </c>
      <c r="I375" s="1">
        <v>45329</v>
      </c>
      <c r="J375">
        <f>Sheet1[[#This Row],[Close Date]]-Sheet1[[#This Row],[Open Date]]</f>
        <v>1</v>
      </c>
      <c r="K375" t="str">
        <f>IF(Sheet1[[#This Row],[Actual Days]]&gt;=1,"Not Met","Met")</f>
        <v>Not Met</v>
      </c>
      <c r="L375" t="str">
        <f>TEXT(Sheet1[[#This Row],[Open Date]],"mmm")</f>
        <v>Feb</v>
      </c>
    </row>
    <row r="376" spans="1:12" x14ac:dyDescent="0.3">
      <c r="A376" t="s">
        <v>629</v>
      </c>
      <c r="B376" t="s">
        <v>22</v>
      </c>
      <c r="C376" t="s">
        <v>101</v>
      </c>
      <c r="D376" t="s">
        <v>38</v>
      </c>
      <c r="E376" t="s">
        <v>412</v>
      </c>
      <c r="F376" t="s">
        <v>26</v>
      </c>
      <c r="G376" t="s">
        <v>18</v>
      </c>
      <c r="H376" s="1">
        <v>45325</v>
      </c>
      <c r="I376" s="1">
        <v>45325</v>
      </c>
      <c r="J376">
        <f>Sheet1[[#This Row],[Close Date]]-Sheet1[[#This Row],[Open Date]]</f>
        <v>0</v>
      </c>
      <c r="K376" t="str">
        <f>IF(Sheet1[[#This Row],[Actual Days]]&gt;=1,"Not Met","Met")</f>
        <v>Met</v>
      </c>
      <c r="L376" t="str">
        <f>TEXT(Sheet1[[#This Row],[Open Date]],"mmm")</f>
        <v>Feb</v>
      </c>
    </row>
    <row r="377" spans="1:12" x14ac:dyDescent="0.3">
      <c r="A377" t="s">
        <v>630</v>
      </c>
      <c r="B377" t="s">
        <v>30</v>
      </c>
      <c r="C377" t="s">
        <v>31</v>
      </c>
      <c r="D377" t="s">
        <v>38</v>
      </c>
      <c r="E377" t="s">
        <v>414</v>
      </c>
      <c r="F377" t="s">
        <v>40</v>
      </c>
      <c r="G377" t="s">
        <v>18</v>
      </c>
      <c r="H377" s="1">
        <v>45402</v>
      </c>
      <c r="I377" s="1">
        <v>45402</v>
      </c>
      <c r="J377">
        <f>Sheet1[[#This Row],[Close Date]]-Sheet1[[#This Row],[Open Date]]</f>
        <v>0</v>
      </c>
      <c r="K377" t="str">
        <f>IF(Sheet1[[#This Row],[Actual Days]]&gt;=1,"Not Met","Met")</f>
        <v>Met</v>
      </c>
      <c r="L377" t="str">
        <f>TEXT(Sheet1[[#This Row],[Open Date]],"mmm")</f>
        <v>Apr</v>
      </c>
    </row>
    <row r="378" spans="1:12" x14ac:dyDescent="0.3">
      <c r="A378" t="s">
        <v>631</v>
      </c>
      <c r="B378" t="s">
        <v>30</v>
      </c>
      <c r="C378" t="s">
        <v>31</v>
      </c>
      <c r="D378" t="s">
        <v>24</v>
      </c>
      <c r="E378" t="s">
        <v>416</v>
      </c>
      <c r="F378" t="s">
        <v>40</v>
      </c>
      <c r="G378" t="s">
        <v>27</v>
      </c>
      <c r="H378" s="1">
        <v>45431</v>
      </c>
      <c r="I378" s="1">
        <v>45431</v>
      </c>
      <c r="J378">
        <f>Sheet1[[#This Row],[Close Date]]-Sheet1[[#This Row],[Open Date]]</f>
        <v>0</v>
      </c>
      <c r="K378" t="str">
        <f>IF(Sheet1[[#This Row],[Actual Days]]&gt;=1,"Not Met","Met")</f>
        <v>Met</v>
      </c>
      <c r="L378" t="str">
        <f>TEXT(Sheet1[[#This Row],[Open Date]],"mmm")</f>
        <v>May</v>
      </c>
    </row>
    <row r="379" spans="1:12" x14ac:dyDescent="0.3">
      <c r="A379" t="s">
        <v>632</v>
      </c>
      <c r="B379" t="s">
        <v>30</v>
      </c>
      <c r="C379" t="s">
        <v>51</v>
      </c>
      <c r="D379" t="s">
        <v>87</v>
      </c>
      <c r="E379" t="s">
        <v>418</v>
      </c>
      <c r="F379" t="s">
        <v>26</v>
      </c>
      <c r="G379" t="s">
        <v>49</v>
      </c>
      <c r="H379" s="1">
        <v>45336</v>
      </c>
      <c r="I379" s="1">
        <v>45336</v>
      </c>
      <c r="J379">
        <f>Sheet1[[#This Row],[Close Date]]-Sheet1[[#This Row],[Open Date]]</f>
        <v>0</v>
      </c>
      <c r="K379" t="str">
        <f>IF(Sheet1[[#This Row],[Actual Days]]&gt;=1,"Not Met","Met")</f>
        <v>Met</v>
      </c>
      <c r="L379" t="str">
        <f>TEXT(Sheet1[[#This Row],[Open Date]],"mmm")</f>
        <v>Feb</v>
      </c>
    </row>
    <row r="380" spans="1:12" x14ac:dyDescent="0.3">
      <c r="A380" t="s">
        <v>633</v>
      </c>
      <c r="B380" t="s">
        <v>42</v>
      </c>
      <c r="C380" t="s">
        <v>43</v>
      </c>
      <c r="D380" t="s">
        <v>38</v>
      </c>
      <c r="E380" t="s">
        <v>420</v>
      </c>
      <c r="F380" t="s">
        <v>40</v>
      </c>
      <c r="G380" t="s">
        <v>18</v>
      </c>
      <c r="H380" s="1">
        <v>45292</v>
      </c>
      <c r="I380" s="1">
        <v>45292</v>
      </c>
      <c r="J380">
        <f>Sheet1[[#This Row],[Close Date]]-Sheet1[[#This Row],[Open Date]]</f>
        <v>0</v>
      </c>
      <c r="K380" t="str">
        <f>IF(Sheet1[[#This Row],[Actual Days]]&gt;=1,"Not Met","Met")</f>
        <v>Met</v>
      </c>
      <c r="L380" t="str">
        <f>TEXT(Sheet1[[#This Row],[Open Date]],"mmm")</f>
        <v>Jan</v>
      </c>
    </row>
    <row r="381" spans="1:12" x14ac:dyDescent="0.3">
      <c r="A381" t="s">
        <v>634</v>
      </c>
      <c r="B381" t="s">
        <v>30</v>
      </c>
      <c r="C381" t="s">
        <v>161</v>
      </c>
      <c r="D381" t="s">
        <v>94</v>
      </c>
      <c r="E381" t="s">
        <v>422</v>
      </c>
      <c r="F381" t="s">
        <v>17</v>
      </c>
      <c r="G381" t="s">
        <v>18</v>
      </c>
      <c r="H381" s="1">
        <v>45445</v>
      </c>
      <c r="I381" s="1">
        <v>45445</v>
      </c>
      <c r="J381">
        <f>Sheet1[[#This Row],[Close Date]]-Sheet1[[#This Row],[Open Date]]</f>
        <v>0</v>
      </c>
      <c r="K381" t="str">
        <f>IF(Sheet1[[#This Row],[Actual Days]]&gt;=1,"Not Met","Met")</f>
        <v>Met</v>
      </c>
      <c r="L381" t="str">
        <f>TEXT(Sheet1[[#This Row],[Open Date]],"mmm")</f>
        <v>Jun</v>
      </c>
    </row>
    <row r="382" spans="1:12" x14ac:dyDescent="0.3">
      <c r="A382" t="s">
        <v>635</v>
      </c>
      <c r="B382" t="s">
        <v>36</v>
      </c>
      <c r="C382" t="s">
        <v>62</v>
      </c>
      <c r="D382" t="s">
        <v>73</v>
      </c>
      <c r="E382" t="s">
        <v>424</v>
      </c>
      <c r="F382" t="s">
        <v>40</v>
      </c>
      <c r="G382" t="s">
        <v>34</v>
      </c>
      <c r="H382" s="1">
        <v>45340</v>
      </c>
      <c r="I382" s="1">
        <v>45340</v>
      </c>
      <c r="J382">
        <f>Sheet1[[#This Row],[Close Date]]-Sheet1[[#This Row],[Open Date]]</f>
        <v>0</v>
      </c>
      <c r="K382" t="str">
        <f>IF(Sheet1[[#This Row],[Actual Days]]&gt;=1,"Not Met","Met")</f>
        <v>Met</v>
      </c>
      <c r="L382" t="str">
        <f>TEXT(Sheet1[[#This Row],[Open Date]],"mmm")</f>
        <v>Feb</v>
      </c>
    </row>
    <row r="383" spans="1:12" x14ac:dyDescent="0.3">
      <c r="A383" t="s">
        <v>636</v>
      </c>
      <c r="B383" t="s">
        <v>36</v>
      </c>
      <c r="C383" t="s">
        <v>37</v>
      </c>
      <c r="D383" t="s">
        <v>38</v>
      </c>
      <c r="E383" t="s">
        <v>426</v>
      </c>
      <c r="F383" t="s">
        <v>40</v>
      </c>
      <c r="G383" t="s">
        <v>45</v>
      </c>
      <c r="H383" s="1">
        <v>45343</v>
      </c>
      <c r="I383" s="1">
        <v>45343</v>
      </c>
      <c r="J383">
        <f>Sheet1[[#This Row],[Close Date]]-Sheet1[[#This Row],[Open Date]]</f>
        <v>0</v>
      </c>
      <c r="K383" t="str">
        <f>IF(Sheet1[[#This Row],[Actual Days]]&gt;=1,"Not Met","Met")</f>
        <v>Met</v>
      </c>
      <c r="L383" t="str">
        <f>TEXT(Sheet1[[#This Row],[Open Date]],"mmm")</f>
        <v>Feb</v>
      </c>
    </row>
    <row r="384" spans="1:12" x14ac:dyDescent="0.3">
      <c r="A384" t="s">
        <v>637</v>
      </c>
      <c r="B384" t="s">
        <v>13</v>
      </c>
      <c r="C384" t="s">
        <v>65</v>
      </c>
      <c r="D384" t="s">
        <v>15</v>
      </c>
      <c r="E384" t="s">
        <v>428</v>
      </c>
      <c r="F384" t="s">
        <v>17</v>
      </c>
      <c r="G384" t="s">
        <v>34</v>
      </c>
      <c r="H384" s="1">
        <v>45380</v>
      </c>
      <c r="I384" s="1">
        <v>45380</v>
      </c>
      <c r="J384">
        <f>Sheet1[[#This Row],[Close Date]]-Sheet1[[#This Row],[Open Date]]</f>
        <v>0</v>
      </c>
      <c r="K384" t="str">
        <f>IF(Sheet1[[#This Row],[Actual Days]]&gt;=1,"Not Met","Met")</f>
        <v>Met</v>
      </c>
      <c r="L384" t="str">
        <f>TEXT(Sheet1[[#This Row],[Open Date]],"mmm")</f>
        <v>Mar</v>
      </c>
    </row>
    <row r="385" spans="1:12" x14ac:dyDescent="0.3">
      <c r="A385" t="s">
        <v>638</v>
      </c>
      <c r="B385" t="s">
        <v>22</v>
      </c>
      <c r="C385" t="s">
        <v>23</v>
      </c>
      <c r="D385" t="s">
        <v>24</v>
      </c>
      <c r="E385" t="s">
        <v>430</v>
      </c>
      <c r="F385" t="s">
        <v>26</v>
      </c>
      <c r="G385" t="s">
        <v>18</v>
      </c>
      <c r="H385" s="1">
        <v>45382</v>
      </c>
      <c r="I385" s="1">
        <v>45382</v>
      </c>
      <c r="J385">
        <f>Sheet1[[#This Row],[Close Date]]-Sheet1[[#This Row],[Open Date]]</f>
        <v>0</v>
      </c>
      <c r="K385" t="str">
        <f>IF(Sheet1[[#This Row],[Actual Days]]&gt;=1,"Not Met","Met")</f>
        <v>Met</v>
      </c>
      <c r="L385" t="str">
        <f>TEXT(Sheet1[[#This Row],[Open Date]],"mmm")</f>
        <v>Mar</v>
      </c>
    </row>
    <row r="386" spans="1:12" x14ac:dyDescent="0.3">
      <c r="A386" t="s">
        <v>639</v>
      </c>
      <c r="B386" t="s">
        <v>36</v>
      </c>
      <c r="C386" t="s">
        <v>62</v>
      </c>
      <c r="D386" t="s">
        <v>24</v>
      </c>
      <c r="E386" t="s">
        <v>432</v>
      </c>
      <c r="F386" t="s">
        <v>40</v>
      </c>
      <c r="G386" t="s">
        <v>59</v>
      </c>
      <c r="H386" s="1">
        <v>45450</v>
      </c>
      <c r="I386" s="1">
        <v>45450</v>
      </c>
      <c r="J386">
        <f>Sheet1[[#This Row],[Close Date]]-Sheet1[[#This Row],[Open Date]]</f>
        <v>0</v>
      </c>
      <c r="K386" t="str">
        <f>IF(Sheet1[[#This Row],[Actual Days]]&gt;=1,"Not Met","Met")</f>
        <v>Met</v>
      </c>
      <c r="L386" t="str">
        <f>TEXT(Sheet1[[#This Row],[Open Date]],"mmm")</f>
        <v>Jun</v>
      </c>
    </row>
    <row r="387" spans="1:12" x14ac:dyDescent="0.3">
      <c r="A387" t="s">
        <v>640</v>
      </c>
      <c r="B387" t="s">
        <v>13</v>
      </c>
      <c r="C387" t="s">
        <v>14</v>
      </c>
      <c r="D387" t="s">
        <v>38</v>
      </c>
      <c r="E387" t="s">
        <v>434</v>
      </c>
      <c r="F387" t="s">
        <v>26</v>
      </c>
      <c r="G387" t="s">
        <v>27</v>
      </c>
      <c r="H387" s="1">
        <v>45328</v>
      </c>
      <c r="I387" s="1">
        <v>45328</v>
      </c>
      <c r="J387">
        <f>Sheet1[[#This Row],[Close Date]]-Sheet1[[#This Row],[Open Date]]</f>
        <v>0</v>
      </c>
      <c r="K387" t="str">
        <f>IF(Sheet1[[#This Row],[Actual Days]]&gt;=1,"Not Met","Met")</f>
        <v>Met</v>
      </c>
      <c r="L387" t="str">
        <f>TEXT(Sheet1[[#This Row],[Open Date]],"mmm")</f>
        <v>Feb</v>
      </c>
    </row>
    <row r="388" spans="1:12" x14ac:dyDescent="0.3">
      <c r="A388" t="s">
        <v>641</v>
      </c>
      <c r="B388" t="s">
        <v>30</v>
      </c>
      <c r="C388" t="s">
        <v>51</v>
      </c>
      <c r="D388" t="s">
        <v>73</v>
      </c>
      <c r="E388" t="s">
        <v>436</v>
      </c>
      <c r="F388" t="s">
        <v>40</v>
      </c>
      <c r="G388" t="s">
        <v>34</v>
      </c>
      <c r="H388" s="1">
        <v>45450</v>
      </c>
      <c r="I388" s="1">
        <v>45450</v>
      </c>
      <c r="J388">
        <f>Sheet1[[#This Row],[Close Date]]-Sheet1[[#This Row],[Open Date]]</f>
        <v>0</v>
      </c>
      <c r="K388" t="str">
        <f>IF(Sheet1[[#This Row],[Actual Days]]&gt;=1,"Not Met","Met")</f>
        <v>Met</v>
      </c>
      <c r="L388" t="str">
        <f>TEXT(Sheet1[[#This Row],[Open Date]],"mmm")</f>
        <v>Jun</v>
      </c>
    </row>
    <row r="389" spans="1:12" x14ac:dyDescent="0.3">
      <c r="A389" t="s">
        <v>642</v>
      </c>
      <c r="B389" t="s">
        <v>30</v>
      </c>
      <c r="C389" t="s">
        <v>31</v>
      </c>
      <c r="D389" t="s">
        <v>38</v>
      </c>
      <c r="E389" t="s">
        <v>438</v>
      </c>
      <c r="F389" t="s">
        <v>26</v>
      </c>
      <c r="G389" t="s">
        <v>49</v>
      </c>
      <c r="H389" s="1">
        <v>45292</v>
      </c>
      <c r="I389" s="1">
        <v>45292</v>
      </c>
      <c r="J389">
        <f>Sheet1[[#This Row],[Close Date]]-Sheet1[[#This Row],[Open Date]]</f>
        <v>0</v>
      </c>
      <c r="K389" t="str">
        <f>IF(Sheet1[[#This Row],[Actual Days]]&gt;=1,"Not Met","Met")</f>
        <v>Met</v>
      </c>
      <c r="L389" t="str">
        <f>TEXT(Sheet1[[#This Row],[Open Date]],"mmm")</f>
        <v>Jan</v>
      </c>
    </row>
    <row r="390" spans="1:12" x14ac:dyDescent="0.3">
      <c r="A390" t="s">
        <v>643</v>
      </c>
      <c r="B390" t="s">
        <v>36</v>
      </c>
      <c r="C390" t="s">
        <v>76</v>
      </c>
      <c r="D390" t="s">
        <v>15</v>
      </c>
      <c r="E390" t="s">
        <v>440</v>
      </c>
      <c r="F390" t="s">
        <v>26</v>
      </c>
      <c r="G390" t="s">
        <v>49</v>
      </c>
      <c r="H390" s="1">
        <v>45354</v>
      </c>
      <c r="I390" s="1">
        <v>45354</v>
      </c>
      <c r="J390">
        <f>Sheet1[[#This Row],[Close Date]]-Sheet1[[#This Row],[Open Date]]</f>
        <v>0</v>
      </c>
      <c r="K390" t="str">
        <f>IF(Sheet1[[#This Row],[Actual Days]]&gt;=1,"Not Met","Met")</f>
        <v>Met</v>
      </c>
      <c r="L390" t="str">
        <f>TEXT(Sheet1[[#This Row],[Open Date]],"mmm")</f>
        <v>Mar</v>
      </c>
    </row>
    <row r="391" spans="1:12" x14ac:dyDescent="0.3">
      <c r="A391" t="s">
        <v>644</v>
      </c>
      <c r="B391" t="s">
        <v>30</v>
      </c>
      <c r="C391" t="s">
        <v>31</v>
      </c>
      <c r="D391" t="s">
        <v>38</v>
      </c>
      <c r="E391" t="s">
        <v>442</v>
      </c>
      <c r="F391" t="s">
        <v>17</v>
      </c>
      <c r="G391" t="s">
        <v>45</v>
      </c>
      <c r="H391" s="1">
        <v>45310</v>
      </c>
      <c r="I391" s="1">
        <v>45310</v>
      </c>
      <c r="J391">
        <f>Sheet1[[#This Row],[Close Date]]-Sheet1[[#This Row],[Open Date]]</f>
        <v>0</v>
      </c>
      <c r="K391" t="str">
        <f>IF(Sheet1[[#This Row],[Actual Days]]&gt;=1,"Not Met","Met")</f>
        <v>Met</v>
      </c>
      <c r="L391" t="str">
        <f>TEXT(Sheet1[[#This Row],[Open Date]],"mmm")</f>
        <v>Jan</v>
      </c>
    </row>
    <row r="392" spans="1:12" x14ac:dyDescent="0.3">
      <c r="A392" t="s">
        <v>645</v>
      </c>
      <c r="B392" t="s">
        <v>22</v>
      </c>
      <c r="C392" t="s">
        <v>84</v>
      </c>
      <c r="D392" t="s">
        <v>94</v>
      </c>
      <c r="E392" t="s">
        <v>444</v>
      </c>
      <c r="F392" t="s">
        <v>26</v>
      </c>
      <c r="G392" t="s">
        <v>27</v>
      </c>
      <c r="H392" s="1">
        <v>45407</v>
      </c>
      <c r="I392" s="1">
        <v>45407</v>
      </c>
      <c r="J392">
        <f>Sheet1[[#This Row],[Close Date]]-Sheet1[[#This Row],[Open Date]]</f>
        <v>0</v>
      </c>
      <c r="K392" t="str">
        <f>IF(Sheet1[[#This Row],[Actual Days]]&gt;=1,"Not Met","Met")</f>
        <v>Met</v>
      </c>
      <c r="L392" t="str">
        <f>TEXT(Sheet1[[#This Row],[Open Date]],"mmm")</f>
        <v>Apr</v>
      </c>
    </row>
    <row r="393" spans="1:12" x14ac:dyDescent="0.3">
      <c r="A393" t="s">
        <v>646</v>
      </c>
      <c r="B393" t="s">
        <v>22</v>
      </c>
      <c r="C393" t="s">
        <v>23</v>
      </c>
      <c r="D393" t="s">
        <v>73</v>
      </c>
      <c r="E393" t="s">
        <v>446</v>
      </c>
      <c r="F393" t="s">
        <v>26</v>
      </c>
      <c r="G393" t="s">
        <v>45</v>
      </c>
      <c r="H393" s="1">
        <v>45445</v>
      </c>
      <c r="I393" s="1">
        <v>45445</v>
      </c>
      <c r="J393">
        <f>Sheet1[[#This Row],[Close Date]]-Sheet1[[#This Row],[Open Date]]</f>
        <v>0</v>
      </c>
      <c r="K393" t="str">
        <f>IF(Sheet1[[#This Row],[Actual Days]]&gt;=1,"Not Met","Met")</f>
        <v>Met</v>
      </c>
      <c r="L393" t="str">
        <f>TEXT(Sheet1[[#This Row],[Open Date]],"mmm")</f>
        <v>Jun</v>
      </c>
    </row>
    <row r="394" spans="1:12" x14ac:dyDescent="0.3">
      <c r="A394" t="s">
        <v>647</v>
      </c>
      <c r="B394" t="s">
        <v>22</v>
      </c>
      <c r="C394" t="s">
        <v>84</v>
      </c>
      <c r="D394" t="s">
        <v>24</v>
      </c>
      <c r="E394" t="s">
        <v>448</v>
      </c>
      <c r="F394" t="s">
        <v>26</v>
      </c>
      <c r="G394" t="s">
        <v>18</v>
      </c>
      <c r="H394" s="1">
        <v>45415</v>
      </c>
      <c r="I394" s="1">
        <v>45415</v>
      </c>
      <c r="J394">
        <f>Sheet1[[#This Row],[Close Date]]-Sheet1[[#This Row],[Open Date]]</f>
        <v>0</v>
      </c>
      <c r="K394" t="str">
        <f>IF(Sheet1[[#This Row],[Actual Days]]&gt;=1,"Not Met","Met")</f>
        <v>Met</v>
      </c>
      <c r="L394" t="str">
        <f>TEXT(Sheet1[[#This Row],[Open Date]],"mmm")</f>
        <v>May</v>
      </c>
    </row>
    <row r="395" spans="1:12" x14ac:dyDescent="0.3">
      <c r="A395" t="s">
        <v>648</v>
      </c>
      <c r="B395" t="s">
        <v>42</v>
      </c>
      <c r="C395" t="s">
        <v>43</v>
      </c>
      <c r="D395" t="s">
        <v>38</v>
      </c>
      <c r="E395" t="s">
        <v>450</v>
      </c>
      <c r="F395" t="s">
        <v>26</v>
      </c>
      <c r="G395" t="s">
        <v>18</v>
      </c>
      <c r="H395" s="1">
        <v>45459</v>
      </c>
      <c r="I395" s="1">
        <v>45459</v>
      </c>
      <c r="J395">
        <f>Sheet1[[#This Row],[Close Date]]-Sheet1[[#This Row],[Open Date]]</f>
        <v>0</v>
      </c>
      <c r="K395" t="str">
        <f>IF(Sheet1[[#This Row],[Actual Days]]&gt;=1,"Not Met","Met")</f>
        <v>Met</v>
      </c>
      <c r="L395" t="str">
        <f>TEXT(Sheet1[[#This Row],[Open Date]],"mmm")</f>
        <v>Jun</v>
      </c>
    </row>
    <row r="396" spans="1:12" x14ac:dyDescent="0.3">
      <c r="A396" t="s">
        <v>649</v>
      </c>
      <c r="B396" t="s">
        <v>13</v>
      </c>
      <c r="C396" t="s">
        <v>68</v>
      </c>
      <c r="D396" t="s">
        <v>38</v>
      </c>
      <c r="E396" t="s">
        <v>228</v>
      </c>
      <c r="F396" t="s">
        <v>26</v>
      </c>
      <c r="G396" t="s">
        <v>18</v>
      </c>
      <c r="H396" s="1">
        <v>45438</v>
      </c>
      <c r="I396" s="1">
        <v>45438</v>
      </c>
      <c r="J396">
        <f>Sheet1[[#This Row],[Close Date]]-Sheet1[[#This Row],[Open Date]]</f>
        <v>0</v>
      </c>
      <c r="K396" t="str">
        <f>IF(Sheet1[[#This Row],[Actual Days]]&gt;=1,"Not Met","Met")</f>
        <v>Met</v>
      </c>
      <c r="L396" t="str">
        <f>TEXT(Sheet1[[#This Row],[Open Date]],"mmm")</f>
        <v>May</v>
      </c>
    </row>
    <row r="397" spans="1:12" x14ac:dyDescent="0.3">
      <c r="A397" t="s">
        <v>650</v>
      </c>
      <c r="B397" t="s">
        <v>30</v>
      </c>
      <c r="C397" t="s">
        <v>161</v>
      </c>
      <c r="D397" t="s">
        <v>38</v>
      </c>
      <c r="E397" t="s">
        <v>230</v>
      </c>
      <c r="F397" t="s">
        <v>26</v>
      </c>
      <c r="G397" t="s">
        <v>27</v>
      </c>
      <c r="H397" s="1">
        <v>45409</v>
      </c>
      <c r="I397" s="1">
        <v>45409</v>
      </c>
      <c r="J397">
        <f>Sheet1[[#This Row],[Close Date]]-Sheet1[[#This Row],[Open Date]]</f>
        <v>0</v>
      </c>
      <c r="K397" t="str">
        <f>IF(Sheet1[[#This Row],[Actual Days]]&gt;=1,"Not Met","Met")</f>
        <v>Met</v>
      </c>
      <c r="L397" t="str">
        <f>TEXT(Sheet1[[#This Row],[Open Date]],"mmm")</f>
        <v>Apr</v>
      </c>
    </row>
    <row r="398" spans="1:12" x14ac:dyDescent="0.3">
      <c r="A398" t="s">
        <v>651</v>
      </c>
      <c r="B398" t="s">
        <v>36</v>
      </c>
      <c r="C398" t="s">
        <v>76</v>
      </c>
      <c r="D398" t="s">
        <v>156</v>
      </c>
      <c r="E398" t="s">
        <v>232</v>
      </c>
      <c r="F398" t="s">
        <v>40</v>
      </c>
      <c r="G398" t="s">
        <v>49</v>
      </c>
      <c r="H398" s="1">
        <v>45421</v>
      </c>
      <c r="I398" s="1">
        <v>45421</v>
      </c>
      <c r="J398">
        <f>Sheet1[[#This Row],[Close Date]]-Sheet1[[#This Row],[Open Date]]</f>
        <v>0</v>
      </c>
      <c r="K398" t="str">
        <f>IF(Sheet1[[#This Row],[Actual Days]]&gt;=1,"Not Met","Met")</f>
        <v>Met</v>
      </c>
      <c r="L398" t="str">
        <f>TEXT(Sheet1[[#This Row],[Open Date]],"mmm")</f>
        <v>May</v>
      </c>
    </row>
    <row r="399" spans="1:12" x14ac:dyDescent="0.3">
      <c r="A399" t="s">
        <v>652</v>
      </c>
      <c r="B399" t="s">
        <v>13</v>
      </c>
      <c r="C399" t="s">
        <v>14</v>
      </c>
      <c r="D399" t="s">
        <v>94</v>
      </c>
      <c r="E399" t="s">
        <v>234</v>
      </c>
      <c r="F399" t="s">
        <v>26</v>
      </c>
      <c r="G399" t="s">
        <v>45</v>
      </c>
      <c r="H399" s="1">
        <v>45358</v>
      </c>
      <c r="I399" s="1">
        <v>45358</v>
      </c>
      <c r="J399">
        <f>Sheet1[[#This Row],[Close Date]]-Sheet1[[#This Row],[Open Date]]</f>
        <v>0</v>
      </c>
      <c r="K399" t="str">
        <f>IF(Sheet1[[#This Row],[Actual Days]]&gt;=1,"Not Met","Met")</f>
        <v>Met</v>
      </c>
      <c r="L399" t="str">
        <f>TEXT(Sheet1[[#This Row],[Open Date]],"mmm")</f>
        <v>Mar</v>
      </c>
    </row>
    <row r="400" spans="1:12" x14ac:dyDescent="0.3">
      <c r="A400" t="s">
        <v>653</v>
      </c>
      <c r="B400" t="s">
        <v>13</v>
      </c>
      <c r="C400" t="s">
        <v>68</v>
      </c>
      <c r="D400" t="s">
        <v>94</v>
      </c>
      <c r="E400" t="s">
        <v>236</v>
      </c>
      <c r="F400" t="s">
        <v>17</v>
      </c>
      <c r="G400" t="s">
        <v>45</v>
      </c>
      <c r="H400" s="1">
        <v>45401</v>
      </c>
      <c r="I400" s="1">
        <v>45401</v>
      </c>
      <c r="J400">
        <f>Sheet1[[#This Row],[Close Date]]-Sheet1[[#This Row],[Open Date]]</f>
        <v>0</v>
      </c>
      <c r="K400" t="str">
        <f>IF(Sheet1[[#This Row],[Actual Days]]&gt;=1,"Not Met","Met")</f>
        <v>Met</v>
      </c>
      <c r="L400" t="str">
        <f>TEXT(Sheet1[[#This Row],[Open Date]],"mmm")</f>
        <v>Apr</v>
      </c>
    </row>
    <row r="401" spans="1:12" x14ac:dyDescent="0.3">
      <c r="A401" t="s">
        <v>654</v>
      </c>
      <c r="B401" t="s">
        <v>42</v>
      </c>
      <c r="C401" t="s">
        <v>43</v>
      </c>
      <c r="D401" t="s">
        <v>156</v>
      </c>
      <c r="E401" t="s">
        <v>238</v>
      </c>
      <c r="F401" t="s">
        <v>26</v>
      </c>
      <c r="G401" t="s">
        <v>59</v>
      </c>
      <c r="H401" s="1">
        <v>45320</v>
      </c>
      <c r="I401" s="1">
        <v>45320</v>
      </c>
      <c r="J401">
        <f>Sheet1[[#This Row],[Close Date]]-Sheet1[[#This Row],[Open Date]]</f>
        <v>0</v>
      </c>
      <c r="K401" t="str">
        <f>IF(Sheet1[[#This Row],[Actual Days]]&gt;=1,"Not Met","Met")</f>
        <v>Met</v>
      </c>
      <c r="L401" t="str">
        <f>TEXT(Sheet1[[#This Row],[Open Date]],"mmm")</f>
        <v>Jan</v>
      </c>
    </row>
    <row r="402" spans="1:12" x14ac:dyDescent="0.3">
      <c r="A402" t="s">
        <v>655</v>
      </c>
      <c r="B402" t="s">
        <v>13</v>
      </c>
      <c r="C402" t="s">
        <v>14</v>
      </c>
      <c r="D402" t="s">
        <v>38</v>
      </c>
      <c r="E402" t="s">
        <v>240</v>
      </c>
      <c r="F402" t="s">
        <v>26</v>
      </c>
      <c r="G402" t="s">
        <v>49</v>
      </c>
      <c r="H402" s="1">
        <v>45366</v>
      </c>
      <c r="I402" s="1">
        <v>45367</v>
      </c>
      <c r="J402">
        <f>Sheet1[[#This Row],[Close Date]]-Sheet1[[#This Row],[Open Date]]</f>
        <v>1</v>
      </c>
      <c r="K402" t="str">
        <f>IF(Sheet1[[#This Row],[Actual Days]]&gt;=1,"Not Met","Met")</f>
        <v>Not Met</v>
      </c>
      <c r="L402" t="str">
        <f>TEXT(Sheet1[[#This Row],[Open Date]],"mmm")</f>
        <v>Mar</v>
      </c>
    </row>
    <row r="403" spans="1:12" x14ac:dyDescent="0.3">
      <c r="A403" t="s">
        <v>656</v>
      </c>
      <c r="B403" t="s">
        <v>30</v>
      </c>
      <c r="C403" t="s">
        <v>161</v>
      </c>
      <c r="D403" t="s">
        <v>38</v>
      </c>
      <c r="E403" t="s">
        <v>242</v>
      </c>
      <c r="F403" t="s">
        <v>40</v>
      </c>
      <c r="G403" t="s">
        <v>59</v>
      </c>
      <c r="H403" s="1">
        <v>45372</v>
      </c>
      <c r="I403" s="1">
        <v>45372</v>
      </c>
      <c r="J403">
        <f>Sheet1[[#This Row],[Close Date]]-Sheet1[[#This Row],[Open Date]]</f>
        <v>0</v>
      </c>
      <c r="K403" t="str">
        <f>IF(Sheet1[[#This Row],[Actual Days]]&gt;=1,"Not Met","Met")</f>
        <v>Met</v>
      </c>
      <c r="L403" t="str">
        <f>TEXT(Sheet1[[#This Row],[Open Date]],"mmm")</f>
        <v>Mar</v>
      </c>
    </row>
    <row r="404" spans="1:12" x14ac:dyDescent="0.3">
      <c r="A404" t="s">
        <v>657</v>
      </c>
      <c r="B404" t="s">
        <v>22</v>
      </c>
      <c r="C404" t="s">
        <v>23</v>
      </c>
      <c r="D404" t="s">
        <v>94</v>
      </c>
      <c r="E404" t="s">
        <v>244</v>
      </c>
      <c r="F404" t="s">
        <v>40</v>
      </c>
      <c r="G404" t="s">
        <v>27</v>
      </c>
      <c r="H404" s="1">
        <v>45414</v>
      </c>
      <c r="I404" s="1">
        <v>45414</v>
      </c>
      <c r="J404">
        <f>Sheet1[[#This Row],[Close Date]]-Sheet1[[#This Row],[Open Date]]</f>
        <v>0</v>
      </c>
      <c r="K404" t="str">
        <f>IF(Sheet1[[#This Row],[Actual Days]]&gt;=1,"Not Met","Met")</f>
        <v>Met</v>
      </c>
      <c r="L404" t="str">
        <f>TEXT(Sheet1[[#This Row],[Open Date]],"mmm")</f>
        <v>May</v>
      </c>
    </row>
    <row r="405" spans="1:12" x14ac:dyDescent="0.3">
      <c r="A405" t="s">
        <v>658</v>
      </c>
      <c r="B405" t="s">
        <v>36</v>
      </c>
      <c r="C405" t="s">
        <v>62</v>
      </c>
      <c r="D405" t="s">
        <v>87</v>
      </c>
      <c r="E405" t="s">
        <v>246</v>
      </c>
      <c r="F405" t="s">
        <v>26</v>
      </c>
      <c r="G405" t="s">
        <v>34</v>
      </c>
      <c r="H405" s="1">
        <v>45301</v>
      </c>
      <c r="I405" s="1">
        <v>45301</v>
      </c>
      <c r="J405">
        <f>Sheet1[[#This Row],[Close Date]]-Sheet1[[#This Row],[Open Date]]</f>
        <v>0</v>
      </c>
      <c r="K405" t="str">
        <f>IF(Sheet1[[#This Row],[Actual Days]]&gt;=1,"Not Met","Met")</f>
        <v>Met</v>
      </c>
      <c r="L405" t="str">
        <f>TEXT(Sheet1[[#This Row],[Open Date]],"mmm")</f>
        <v>Jan</v>
      </c>
    </row>
    <row r="406" spans="1:12" x14ac:dyDescent="0.3">
      <c r="A406" t="s">
        <v>659</v>
      </c>
      <c r="B406" t="s">
        <v>13</v>
      </c>
      <c r="C406" t="s">
        <v>14</v>
      </c>
      <c r="D406" t="s">
        <v>24</v>
      </c>
      <c r="E406" t="s">
        <v>248</v>
      </c>
      <c r="F406" t="s">
        <v>17</v>
      </c>
      <c r="G406" t="s">
        <v>18</v>
      </c>
      <c r="H406" s="1">
        <v>45399</v>
      </c>
      <c r="I406" s="1">
        <v>45399</v>
      </c>
      <c r="J406">
        <f>Sheet1[[#This Row],[Close Date]]-Sheet1[[#This Row],[Open Date]]</f>
        <v>0</v>
      </c>
      <c r="K406" t="str">
        <f>IF(Sheet1[[#This Row],[Actual Days]]&gt;=1,"Not Met","Met")</f>
        <v>Met</v>
      </c>
      <c r="L406" t="str">
        <f>TEXT(Sheet1[[#This Row],[Open Date]],"mmm")</f>
        <v>Apr</v>
      </c>
    </row>
    <row r="407" spans="1:12" x14ac:dyDescent="0.3">
      <c r="A407" t="s">
        <v>660</v>
      </c>
      <c r="B407" t="s">
        <v>22</v>
      </c>
      <c r="C407" t="s">
        <v>23</v>
      </c>
      <c r="D407" t="s">
        <v>73</v>
      </c>
      <c r="E407" t="s">
        <v>250</v>
      </c>
      <c r="F407" t="s">
        <v>26</v>
      </c>
      <c r="G407" t="s">
        <v>49</v>
      </c>
      <c r="H407" s="1">
        <v>45373</v>
      </c>
      <c r="I407" s="1">
        <v>45374</v>
      </c>
      <c r="J407">
        <f>Sheet1[[#This Row],[Close Date]]-Sheet1[[#This Row],[Open Date]]</f>
        <v>1</v>
      </c>
      <c r="K407" t="str">
        <f>IF(Sheet1[[#This Row],[Actual Days]]&gt;=1,"Not Met","Met")</f>
        <v>Not Met</v>
      </c>
      <c r="L407" t="str">
        <f>TEXT(Sheet1[[#This Row],[Open Date]],"mmm")</f>
        <v>Mar</v>
      </c>
    </row>
    <row r="408" spans="1:12" x14ac:dyDescent="0.3">
      <c r="A408" t="s">
        <v>661</v>
      </c>
      <c r="B408" t="s">
        <v>30</v>
      </c>
      <c r="C408" t="s">
        <v>31</v>
      </c>
      <c r="D408" t="s">
        <v>94</v>
      </c>
      <c r="E408" t="s">
        <v>252</v>
      </c>
      <c r="F408" t="s">
        <v>40</v>
      </c>
      <c r="G408" t="s">
        <v>18</v>
      </c>
      <c r="H408" s="1">
        <v>45356</v>
      </c>
      <c r="I408" s="1">
        <v>45356</v>
      </c>
      <c r="J408">
        <f>Sheet1[[#This Row],[Close Date]]-Sheet1[[#This Row],[Open Date]]</f>
        <v>0</v>
      </c>
      <c r="K408" t="str">
        <f>IF(Sheet1[[#This Row],[Actual Days]]&gt;=1,"Not Met","Met")</f>
        <v>Met</v>
      </c>
      <c r="L408" t="str">
        <f>TEXT(Sheet1[[#This Row],[Open Date]],"mmm")</f>
        <v>Mar</v>
      </c>
    </row>
    <row r="409" spans="1:12" x14ac:dyDescent="0.3">
      <c r="A409" t="s">
        <v>662</v>
      </c>
      <c r="B409" t="s">
        <v>22</v>
      </c>
      <c r="C409" t="s">
        <v>101</v>
      </c>
      <c r="D409" t="s">
        <v>73</v>
      </c>
      <c r="E409" t="s">
        <v>254</v>
      </c>
      <c r="F409" t="s">
        <v>26</v>
      </c>
      <c r="G409" t="s">
        <v>34</v>
      </c>
      <c r="H409" s="1">
        <v>45321</v>
      </c>
      <c r="I409" s="1">
        <v>45321</v>
      </c>
      <c r="J409">
        <f>Sheet1[[#This Row],[Close Date]]-Sheet1[[#This Row],[Open Date]]</f>
        <v>0</v>
      </c>
      <c r="K409" t="str">
        <f>IF(Sheet1[[#This Row],[Actual Days]]&gt;=1,"Not Met","Met")</f>
        <v>Met</v>
      </c>
      <c r="L409" t="str">
        <f>TEXT(Sheet1[[#This Row],[Open Date]],"mmm")</f>
        <v>Jan</v>
      </c>
    </row>
    <row r="410" spans="1:12" x14ac:dyDescent="0.3">
      <c r="A410" t="s">
        <v>663</v>
      </c>
      <c r="B410" t="s">
        <v>42</v>
      </c>
      <c r="C410" t="s">
        <v>104</v>
      </c>
      <c r="D410" t="s">
        <v>38</v>
      </c>
      <c r="E410" t="s">
        <v>256</v>
      </c>
      <c r="F410" t="s">
        <v>40</v>
      </c>
      <c r="G410" t="s">
        <v>59</v>
      </c>
      <c r="H410" s="1">
        <v>45303</v>
      </c>
      <c r="I410" s="1">
        <v>45303</v>
      </c>
      <c r="J410">
        <f>Sheet1[[#This Row],[Close Date]]-Sheet1[[#This Row],[Open Date]]</f>
        <v>0</v>
      </c>
      <c r="K410" t="str">
        <f>IF(Sheet1[[#This Row],[Actual Days]]&gt;=1,"Not Met","Met")</f>
        <v>Met</v>
      </c>
      <c r="L410" t="str">
        <f>TEXT(Sheet1[[#This Row],[Open Date]],"mmm")</f>
        <v>Jan</v>
      </c>
    </row>
    <row r="411" spans="1:12" x14ac:dyDescent="0.3">
      <c r="A411" t="s">
        <v>664</v>
      </c>
      <c r="B411" t="s">
        <v>42</v>
      </c>
      <c r="C411" t="s">
        <v>107</v>
      </c>
      <c r="D411" t="s">
        <v>94</v>
      </c>
      <c r="E411" t="s">
        <v>258</v>
      </c>
      <c r="F411" t="s">
        <v>26</v>
      </c>
      <c r="G411" t="s">
        <v>49</v>
      </c>
      <c r="H411" s="1">
        <v>45464</v>
      </c>
      <c r="I411" s="1">
        <v>45464</v>
      </c>
      <c r="J411">
        <f>Sheet1[[#This Row],[Close Date]]-Sheet1[[#This Row],[Open Date]]</f>
        <v>0</v>
      </c>
      <c r="K411" t="str">
        <f>IF(Sheet1[[#This Row],[Actual Days]]&gt;=1,"Not Met","Met")</f>
        <v>Met</v>
      </c>
      <c r="L411" t="str">
        <f>TEXT(Sheet1[[#This Row],[Open Date]],"mmm")</f>
        <v>Jun</v>
      </c>
    </row>
    <row r="412" spans="1:12" x14ac:dyDescent="0.3">
      <c r="A412" t="s">
        <v>665</v>
      </c>
      <c r="B412" t="s">
        <v>30</v>
      </c>
      <c r="C412" t="s">
        <v>51</v>
      </c>
      <c r="D412" t="s">
        <v>94</v>
      </c>
      <c r="E412" t="s">
        <v>260</v>
      </c>
      <c r="F412" t="s">
        <v>40</v>
      </c>
      <c r="G412" t="s">
        <v>27</v>
      </c>
      <c r="H412" s="1">
        <v>45415</v>
      </c>
      <c r="I412" s="1">
        <v>45415</v>
      </c>
      <c r="J412">
        <f>Sheet1[[#This Row],[Close Date]]-Sheet1[[#This Row],[Open Date]]</f>
        <v>0</v>
      </c>
      <c r="K412" t="str">
        <f>IF(Sheet1[[#This Row],[Actual Days]]&gt;=1,"Not Met","Met")</f>
        <v>Met</v>
      </c>
      <c r="L412" t="str">
        <f>TEXT(Sheet1[[#This Row],[Open Date]],"mmm")</f>
        <v>May</v>
      </c>
    </row>
    <row r="413" spans="1:12" x14ac:dyDescent="0.3">
      <c r="A413" t="s">
        <v>666</v>
      </c>
      <c r="B413" t="s">
        <v>42</v>
      </c>
      <c r="C413" t="s">
        <v>107</v>
      </c>
      <c r="D413" t="s">
        <v>32</v>
      </c>
      <c r="E413" t="s">
        <v>262</v>
      </c>
      <c r="F413" t="s">
        <v>40</v>
      </c>
      <c r="G413" t="s">
        <v>59</v>
      </c>
      <c r="H413" s="1">
        <v>45452</v>
      </c>
      <c r="I413" s="1">
        <v>45452</v>
      </c>
      <c r="J413">
        <f>Sheet1[[#This Row],[Close Date]]-Sheet1[[#This Row],[Open Date]]</f>
        <v>0</v>
      </c>
      <c r="K413" t="str">
        <f>IF(Sheet1[[#This Row],[Actual Days]]&gt;=1,"Not Met","Met")</f>
        <v>Met</v>
      </c>
      <c r="L413" t="str">
        <f>TEXT(Sheet1[[#This Row],[Open Date]],"mmm")</f>
        <v>Jun</v>
      </c>
    </row>
    <row r="414" spans="1:12" x14ac:dyDescent="0.3">
      <c r="A414" t="s">
        <v>667</v>
      </c>
      <c r="B414" t="s">
        <v>42</v>
      </c>
      <c r="C414" t="s">
        <v>43</v>
      </c>
      <c r="D414" t="s">
        <v>24</v>
      </c>
      <c r="E414" t="s">
        <v>264</v>
      </c>
      <c r="F414" t="s">
        <v>26</v>
      </c>
      <c r="G414" t="s">
        <v>59</v>
      </c>
      <c r="H414" s="1">
        <v>45461</v>
      </c>
      <c r="I414" s="1">
        <v>45461</v>
      </c>
      <c r="J414">
        <f>Sheet1[[#This Row],[Close Date]]-Sheet1[[#This Row],[Open Date]]</f>
        <v>0</v>
      </c>
      <c r="K414" t="str">
        <f>IF(Sheet1[[#This Row],[Actual Days]]&gt;=1,"Not Met","Met")</f>
        <v>Met</v>
      </c>
      <c r="L414" t="str">
        <f>TEXT(Sheet1[[#This Row],[Open Date]],"mmm")</f>
        <v>Jun</v>
      </c>
    </row>
    <row r="415" spans="1:12" x14ac:dyDescent="0.3">
      <c r="A415" t="s">
        <v>668</v>
      </c>
      <c r="B415" t="s">
        <v>30</v>
      </c>
      <c r="C415" t="s">
        <v>51</v>
      </c>
      <c r="D415" t="s">
        <v>156</v>
      </c>
      <c r="E415" t="s">
        <v>266</v>
      </c>
      <c r="F415" t="s">
        <v>17</v>
      </c>
      <c r="G415" t="s">
        <v>45</v>
      </c>
      <c r="H415" s="1">
        <v>45412</v>
      </c>
      <c r="I415" s="1">
        <v>45412</v>
      </c>
      <c r="J415">
        <f>Sheet1[[#This Row],[Close Date]]-Sheet1[[#This Row],[Open Date]]</f>
        <v>0</v>
      </c>
      <c r="K415" t="str">
        <f>IF(Sheet1[[#This Row],[Actual Days]]&gt;=1,"Not Met","Met")</f>
        <v>Met</v>
      </c>
      <c r="L415" t="str">
        <f>TEXT(Sheet1[[#This Row],[Open Date]],"mmm")</f>
        <v>Apr</v>
      </c>
    </row>
    <row r="416" spans="1:12" x14ac:dyDescent="0.3">
      <c r="A416" t="s">
        <v>669</v>
      </c>
      <c r="B416" t="s">
        <v>42</v>
      </c>
      <c r="C416" t="s">
        <v>107</v>
      </c>
      <c r="D416" t="s">
        <v>38</v>
      </c>
      <c r="E416" t="s">
        <v>268</v>
      </c>
      <c r="F416" t="s">
        <v>26</v>
      </c>
      <c r="G416" t="s">
        <v>34</v>
      </c>
      <c r="H416" s="1">
        <v>45391</v>
      </c>
      <c r="I416" s="1">
        <v>45391</v>
      </c>
      <c r="J416">
        <f>Sheet1[[#This Row],[Close Date]]-Sheet1[[#This Row],[Open Date]]</f>
        <v>0</v>
      </c>
      <c r="K416" t="str">
        <f>IF(Sheet1[[#This Row],[Actual Days]]&gt;=1,"Not Met","Met")</f>
        <v>Met</v>
      </c>
      <c r="L416" t="str">
        <f>TEXT(Sheet1[[#This Row],[Open Date]],"mmm")</f>
        <v>Apr</v>
      </c>
    </row>
    <row r="417" spans="1:12" x14ac:dyDescent="0.3">
      <c r="A417" t="s">
        <v>670</v>
      </c>
      <c r="B417" t="s">
        <v>36</v>
      </c>
      <c r="C417" t="s">
        <v>76</v>
      </c>
      <c r="D417" t="s">
        <v>24</v>
      </c>
      <c r="E417" t="s">
        <v>270</v>
      </c>
      <c r="F417" t="s">
        <v>40</v>
      </c>
      <c r="G417" t="s">
        <v>45</v>
      </c>
      <c r="H417" s="1">
        <v>45408</v>
      </c>
      <c r="I417" s="1">
        <v>45408</v>
      </c>
      <c r="J417">
        <f>Sheet1[[#This Row],[Close Date]]-Sheet1[[#This Row],[Open Date]]</f>
        <v>0</v>
      </c>
      <c r="K417" t="str">
        <f>IF(Sheet1[[#This Row],[Actual Days]]&gt;=1,"Not Met","Met")</f>
        <v>Met</v>
      </c>
      <c r="L417" t="str">
        <f>TEXT(Sheet1[[#This Row],[Open Date]],"mmm")</f>
        <v>Apr</v>
      </c>
    </row>
    <row r="418" spans="1:12" x14ac:dyDescent="0.3">
      <c r="A418" t="s">
        <v>671</v>
      </c>
      <c r="B418" t="s">
        <v>30</v>
      </c>
      <c r="C418" t="s">
        <v>51</v>
      </c>
      <c r="D418" t="s">
        <v>32</v>
      </c>
      <c r="E418" t="s">
        <v>272</v>
      </c>
      <c r="F418" t="s">
        <v>40</v>
      </c>
      <c r="G418" t="s">
        <v>27</v>
      </c>
      <c r="H418" s="1">
        <v>45356</v>
      </c>
      <c r="I418" s="1">
        <v>45356</v>
      </c>
      <c r="J418">
        <f>Sheet1[[#This Row],[Close Date]]-Sheet1[[#This Row],[Open Date]]</f>
        <v>0</v>
      </c>
      <c r="K418" t="str">
        <f>IF(Sheet1[[#This Row],[Actual Days]]&gt;=1,"Not Met","Met")</f>
        <v>Met</v>
      </c>
      <c r="L418" t="str">
        <f>TEXT(Sheet1[[#This Row],[Open Date]],"mmm")</f>
        <v>Mar</v>
      </c>
    </row>
    <row r="419" spans="1:12" x14ac:dyDescent="0.3">
      <c r="A419" t="s">
        <v>672</v>
      </c>
      <c r="B419" t="s">
        <v>30</v>
      </c>
      <c r="C419" t="s">
        <v>31</v>
      </c>
      <c r="D419" t="s">
        <v>38</v>
      </c>
      <c r="E419" t="s">
        <v>274</v>
      </c>
      <c r="F419" t="s">
        <v>40</v>
      </c>
      <c r="G419" t="s">
        <v>34</v>
      </c>
      <c r="H419" s="1">
        <v>45430</v>
      </c>
      <c r="I419" s="1">
        <v>45430</v>
      </c>
      <c r="J419">
        <f>Sheet1[[#This Row],[Close Date]]-Sheet1[[#This Row],[Open Date]]</f>
        <v>0</v>
      </c>
      <c r="K419" t="str">
        <f>IF(Sheet1[[#This Row],[Actual Days]]&gt;=1,"Not Met","Met")</f>
        <v>Met</v>
      </c>
      <c r="L419" t="str">
        <f>TEXT(Sheet1[[#This Row],[Open Date]],"mmm")</f>
        <v>May</v>
      </c>
    </row>
    <row r="420" spans="1:12" x14ac:dyDescent="0.3">
      <c r="A420" t="s">
        <v>673</v>
      </c>
      <c r="B420" t="s">
        <v>13</v>
      </c>
      <c r="C420" t="s">
        <v>68</v>
      </c>
      <c r="D420" t="s">
        <v>87</v>
      </c>
      <c r="E420" t="s">
        <v>276</v>
      </c>
      <c r="F420" t="s">
        <v>17</v>
      </c>
      <c r="G420" t="s">
        <v>59</v>
      </c>
      <c r="H420" s="1">
        <v>45360</v>
      </c>
      <c r="I420" s="1">
        <v>45360</v>
      </c>
      <c r="J420">
        <f>Sheet1[[#This Row],[Close Date]]-Sheet1[[#This Row],[Open Date]]</f>
        <v>0</v>
      </c>
      <c r="K420" t="str">
        <f>IF(Sheet1[[#This Row],[Actual Days]]&gt;=1,"Not Met","Met")</f>
        <v>Met</v>
      </c>
      <c r="L420" t="str">
        <f>TEXT(Sheet1[[#This Row],[Open Date]],"mmm")</f>
        <v>Mar</v>
      </c>
    </row>
    <row r="421" spans="1:12" x14ac:dyDescent="0.3">
      <c r="A421" t="s">
        <v>674</v>
      </c>
      <c r="B421" t="s">
        <v>42</v>
      </c>
      <c r="C421" t="s">
        <v>104</v>
      </c>
      <c r="D421" t="s">
        <v>15</v>
      </c>
      <c r="E421" t="s">
        <v>278</v>
      </c>
      <c r="F421" t="s">
        <v>40</v>
      </c>
      <c r="G421" t="s">
        <v>45</v>
      </c>
      <c r="H421" s="1">
        <v>45318</v>
      </c>
      <c r="I421" s="1">
        <v>45318</v>
      </c>
      <c r="J421">
        <f>Sheet1[[#This Row],[Close Date]]-Sheet1[[#This Row],[Open Date]]</f>
        <v>0</v>
      </c>
      <c r="K421" t="str">
        <f>IF(Sheet1[[#This Row],[Actual Days]]&gt;=1,"Not Met","Met")</f>
        <v>Met</v>
      </c>
      <c r="L421" t="str">
        <f>TEXT(Sheet1[[#This Row],[Open Date]],"mmm")</f>
        <v>Jan</v>
      </c>
    </row>
    <row r="422" spans="1:12" x14ac:dyDescent="0.3">
      <c r="A422" t="s">
        <v>675</v>
      </c>
      <c r="B422" t="s">
        <v>30</v>
      </c>
      <c r="C422" t="s">
        <v>161</v>
      </c>
      <c r="D422" t="s">
        <v>38</v>
      </c>
      <c r="E422" t="s">
        <v>280</v>
      </c>
      <c r="F422" t="s">
        <v>26</v>
      </c>
      <c r="G422" t="s">
        <v>49</v>
      </c>
      <c r="H422" s="1">
        <v>45313</v>
      </c>
      <c r="I422" s="1">
        <v>45313</v>
      </c>
      <c r="J422">
        <f>Sheet1[[#This Row],[Close Date]]-Sheet1[[#This Row],[Open Date]]</f>
        <v>0</v>
      </c>
      <c r="K422" t="str">
        <f>IF(Sheet1[[#This Row],[Actual Days]]&gt;=1,"Not Met","Met")</f>
        <v>Met</v>
      </c>
      <c r="L422" t="str">
        <f>TEXT(Sheet1[[#This Row],[Open Date]],"mmm")</f>
        <v>Jan</v>
      </c>
    </row>
    <row r="423" spans="1:12" x14ac:dyDescent="0.3">
      <c r="A423" t="s">
        <v>676</v>
      </c>
      <c r="B423" t="s">
        <v>22</v>
      </c>
      <c r="C423" t="s">
        <v>101</v>
      </c>
      <c r="D423" t="s">
        <v>32</v>
      </c>
      <c r="E423" t="s">
        <v>282</v>
      </c>
      <c r="F423" t="s">
        <v>26</v>
      </c>
      <c r="G423" t="s">
        <v>49</v>
      </c>
      <c r="H423" s="1">
        <v>45378</v>
      </c>
      <c r="I423" s="1">
        <v>45378</v>
      </c>
      <c r="J423">
        <f>Sheet1[[#This Row],[Close Date]]-Sheet1[[#This Row],[Open Date]]</f>
        <v>0</v>
      </c>
      <c r="K423" t="str">
        <f>IF(Sheet1[[#This Row],[Actual Days]]&gt;=1,"Not Met","Met")</f>
        <v>Met</v>
      </c>
      <c r="L423" t="str">
        <f>TEXT(Sheet1[[#This Row],[Open Date]],"mmm")</f>
        <v>Mar</v>
      </c>
    </row>
    <row r="424" spans="1:12" x14ac:dyDescent="0.3">
      <c r="A424" t="s">
        <v>677</v>
      </c>
      <c r="B424" t="s">
        <v>36</v>
      </c>
      <c r="C424" t="s">
        <v>37</v>
      </c>
      <c r="D424" t="s">
        <v>38</v>
      </c>
      <c r="E424" t="s">
        <v>284</v>
      </c>
      <c r="F424" t="s">
        <v>17</v>
      </c>
      <c r="G424" t="s">
        <v>27</v>
      </c>
      <c r="H424" s="1">
        <v>45365</v>
      </c>
      <c r="I424" s="1">
        <v>45365</v>
      </c>
      <c r="J424">
        <f>Sheet1[[#This Row],[Close Date]]-Sheet1[[#This Row],[Open Date]]</f>
        <v>0</v>
      </c>
      <c r="K424" t="str">
        <f>IF(Sheet1[[#This Row],[Actual Days]]&gt;=1,"Not Met","Met")</f>
        <v>Met</v>
      </c>
      <c r="L424" t="str">
        <f>TEXT(Sheet1[[#This Row],[Open Date]],"mmm")</f>
        <v>Mar</v>
      </c>
    </row>
    <row r="425" spans="1:12" x14ac:dyDescent="0.3">
      <c r="A425" t="s">
        <v>678</v>
      </c>
      <c r="B425" t="s">
        <v>13</v>
      </c>
      <c r="C425" t="s">
        <v>65</v>
      </c>
      <c r="D425" t="s">
        <v>73</v>
      </c>
      <c r="E425" t="s">
        <v>286</v>
      </c>
      <c r="F425" t="s">
        <v>17</v>
      </c>
      <c r="G425" t="s">
        <v>49</v>
      </c>
      <c r="H425" s="1">
        <v>45393</v>
      </c>
      <c r="I425" s="1">
        <v>45393</v>
      </c>
      <c r="J425">
        <f>Sheet1[[#This Row],[Close Date]]-Sheet1[[#This Row],[Open Date]]</f>
        <v>0</v>
      </c>
      <c r="K425" t="str">
        <f>IF(Sheet1[[#This Row],[Actual Days]]&gt;=1,"Not Met","Met")</f>
        <v>Met</v>
      </c>
      <c r="L425" t="str">
        <f>TEXT(Sheet1[[#This Row],[Open Date]],"mmm")</f>
        <v>Apr</v>
      </c>
    </row>
    <row r="426" spans="1:12" x14ac:dyDescent="0.3">
      <c r="A426" t="s">
        <v>679</v>
      </c>
      <c r="B426" t="s">
        <v>30</v>
      </c>
      <c r="C426" t="s">
        <v>31</v>
      </c>
      <c r="D426" t="s">
        <v>73</v>
      </c>
      <c r="E426" t="s">
        <v>288</v>
      </c>
      <c r="F426" t="s">
        <v>26</v>
      </c>
      <c r="G426" t="s">
        <v>27</v>
      </c>
      <c r="H426" s="1">
        <v>45432</v>
      </c>
      <c r="I426" s="1">
        <v>45432</v>
      </c>
      <c r="J426">
        <f>Sheet1[[#This Row],[Close Date]]-Sheet1[[#This Row],[Open Date]]</f>
        <v>0</v>
      </c>
      <c r="K426" t="str">
        <f>IF(Sheet1[[#This Row],[Actual Days]]&gt;=1,"Not Met","Met")</f>
        <v>Met</v>
      </c>
      <c r="L426" t="str">
        <f>TEXT(Sheet1[[#This Row],[Open Date]],"mmm")</f>
        <v>May</v>
      </c>
    </row>
    <row r="427" spans="1:12" x14ac:dyDescent="0.3">
      <c r="A427" t="s">
        <v>680</v>
      </c>
      <c r="B427" t="s">
        <v>30</v>
      </c>
      <c r="C427" t="s">
        <v>161</v>
      </c>
      <c r="D427" t="s">
        <v>87</v>
      </c>
      <c r="E427" t="s">
        <v>290</v>
      </c>
      <c r="F427" t="s">
        <v>40</v>
      </c>
      <c r="G427" t="s">
        <v>59</v>
      </c>
      <c r="H427" s="1">
        <v>45296</v>
      </c>
      <c r="I427" s="1">
        <v>45296</v>
      </c>
      <c r="J427">
        <f>Sheet1[[#This Row],[Close Date]]-Sheet1[[#This Row],[Open Date]]</f>
        <v>0</v>
      </c>
      <c r="K427" t="str">
        <f>IF(Sheet1[[#This Row],[Actual Days]]&gt;=1,"Not Met","Met")</f>
        <v>Met</v>
      </c>
      <c r="L427" t="str">
        <f>TEXT(Sheet1[[#This Row],[Open Date]],"mmm")</f>
        <v>Jan</v>
      </c>
    </row>
    <row r="428" spans="1:12" x14ac:dyDescent="0.3">
      <c r="A428" t="s">
        <v>681</v>
      </c>
      <c r="B428" t="s">
        <v>22</v>
      </c>
      <c r="C428" t="s">
        <v>84</v>
      </c>
      <c r="D428" t="s">
        <v>156</v>
      </c>
      <c r="E428" t="s">
        <v>292</v>
      </c>
      <c r="F428" t="s">
        <v>40</v>
      </c>
      <c r="G428" t="s">
        <v>59</v>
      </c>
      <c r="H428" s="1">
        <v>45386</v>
      </c>
      <c r="I428" s="1">
        <v>45386</v>
      </c>
      <c r="J428">
        <f>Sheet1[[#This Row],[Close Date]]-Sheet1[[#This Row],[Open Date]]</f>
        <v>0</v>
      </c>
      <c r="K428" t="str">
        <f>IF(Sheet1[[#This Row],[Actual Days]]&gt;=1,"Not Met","Met")</f>
        <v>Met</v>
      </c>
      <c r="L428" t="str">
        <f>TEXT(Sheet1[[#This Row],[Open Date]],"mmm")</f>
        <v>Apr</v>
      </c>
    </row>
    <row r="429" spans="1:12" x14ac:dyDescent="0.3">
      <c r="A429" t="s">
        <v>682</v>
      </c>
      <c r="B429" t="s">
        <v>42</v>
      </c>
      <c r="C429" t="s">
        <v>107</v>
      </c>
      <c r="D429" t="s">
        <v>87</v>
      </c>
      <c r="E429" t="s">
        <v>294</v>
      </c>
      <c r="F429" t="s">
        <v>26</v>
      </c>
      <c r="G429" t="s">
        <v>18</v>
      </c>
      <c r="H429" s="1">
        <v>45406</v>
      </c>
      <c r="I429" s="1">
        <v>45406</v>
      </c>
      <c r="J429">
        <f>Sheet1[[#This Row],[Close Date]]-Sheet1[[#This Row],[Open Date]]</f>
        <v>0</v>
      </c>
      <c r="K429" t="str">
        <f>IF(Sheet1[[#This Row],[Actual Days]]&gt;=1,"Not Met","Met")</f>
        <v>Met</v>
      </c>
      <c r="L429" t="str">
        <f>TEXT(Sheet1[[#This Row],[Open Date]],"mmm")</f>
        <v>Apr</v>
      </c>
    </row>
    <row r="430" spans="1:12" x14ac:dyDescent="0.3">
      <c r="A430" t="s">
        <v>683</v>
      </c>
      <c r="B430" t="s">
        <v>22</v>
      </c>
      <c r="C430" t="s">
        <v>23</v>
      </c>
      <c r="D430" t="s">
        <v>32</v>
      </c>
      <c r="E430" t="s">
        <v>296</v>
      </c>
      <c r="F430" t="s">
        <v>17</v>
      </c>
      <c r="G430" t="s">
        <v>59</v>
      </c>
      <c r="H430" s="1">
        <v>45338</v>
      </c>
      <c r="I430" s="1">
        <v>45338</v>
      </c>
      <c r="J430">
        <f>Sheet1[[#This Row],[Close Date]]-Sheet1[[#This Row],[Open Date]]</f>
        <v>0</v>
      </c>
      <c r="K430" t="str">
        <f>IF(Sheet1[[#This Row],[Actual Days]]&gt;=1,"Not Met","Met")</f>
        <v>Met</v>
      </c>
      <c r="L430" t="str">
        <f>TEXT(Sheet1[[#This Row],[Open Date]],"mmm")</f>
        <v>Feb</v>
      </c>
    </row>
    <row r="431" spans="1:12" x14ac:dyDescent="0.3">
      <c r="A431" t="s">
        <v>684</v>
      </c>
      <c r="B431" t="s">
        <v>13</v>
      </c>
      <c r="C431" t="s">
        <v>14</v>
      </c>
      <c r="D431" t="s">
        <v>24</v>
      </c>
      <c r="E431" t="s">
        <v>298</v>
      </c>
      <c r="F431" t="s">
        <v>26</v>
      </c>
      <c r="G431" t="s">
        <v>27</v>
      </c>
      <c r="H431" s="1">
        <v>45403</v>
      </c>
      <c r="I431" s="1">
        <v>45403</v>
      </c>
      <c r="J431">
        <f>Sheet1[[#This Row],[Close Date]]-Sheet1[[#This Row],[Open Date]]</f>
        <v>0</v>
      </c>
      <c r="K431" t="str">
        <f>IF(Sheet1[[#This Row],[Actual Days]]&gt;=1,"Not Met","Met")</f>
        <v>Met</v>
      </c>
      <c r="L431" t="str">
        <f>TEXT(Sheet1[[#This Row],[Open Date]],"mmm")</f>
        <v>Apr</v>
      </c>
    </row>
    <row r="432" spans="1:12" x14ac:dyDescent="0.3">
      <c r="A432" t="s">
        <v>685</v>
      </c>
      <c r="B432" t="s">
        <v>22</v>
      </c>
      <c r="C432" t="s">
        <v>84</v>
      </c>
      <c r="D432" t="s">
        <v>24</v>
      </c>
      <c r="E432" t="s">
        <v>300</v>
      </c>
      <c r="F432" t="s">
        <v>26</v>
      </c>
      <c r="G432" t="s">
        <v>45</v>
      </c>
      <c r="H432" s="1">
        <v>45450</v>
      </c>
      <c r="I432" s="1">
        <v>45450</v>
      </c>
      <c r="J432">
        <f>Sheet1[[#This Row],[Close Date]]-Sheet1[[#This Row],[Open Date]]</f>
        <v>0</v>
      </c>
      <c r="K432" t="str">
        <f>IF(Sheet1[[#This Row],[Actual Days]]&gt;=1,"Not Met","Met")</f>
        <v>Met</v>
      </c>
      <c r="L432" t="str">
        <f>TEXT(Sheet1[[#This Row],[Open Date]],"mmm")</f>
        <v>Jun</v>
      </c>
    </row>
    <row r="433" spans="1:12" x14ac:dyDescent="0.3">
      <c r="A433" t="s">
        <v>686</v>
      </c>
      <c r="B433" t="s">
        <v>36</v>
      </c>
      <c r="C433" t="s">
        <v>37</v>
      </c>
      <c r="D433" t="s">
        <v>87</v>
      </c>
      <c r="E433" t="s">
        <v>302</v>
      </c>
      <c r="F433" t="s">
        <v>40</v>
      </c>
      <c r="G433" t="s">
        <v>59</v>
      </c>
      <c r="H433" s="1">
        <v>45299</v>
      </c>
      <c r="I433" s="1">
        <v>45299</v>
      </c>
      <c r="J433">
        <f>Sheet1[[#This Row],[Close Date]]-Sheet1[[#This Row],[Open Date]]</f>
        <v>0</v>
      </c>
      <c r="K433" t="str">
        <f>IF(Sheet1[[#This Row],[Actual Days]]&gt;=1,"Not Met","Met")</f>
        <v>Met</v>
      </c>
      <c r="L433" t="str">
        <f>TEXT(Sheet1[[#This Row],[Open Date]],"mmm")</f>
        <v>Jan</v>
      </c>
    </row>
    <row r="434" spans="1:12" x14ac:dyDescent="0.3">
      <c r="A434" t="s">
        <v>687</v>
      </c>
      <c r="B434" t="s">
        <v>22</v>
      </c>
      <c r="C434" t="s">
        <v>84</v>
      </c>
      <c r="D434" t="s">
        <v>15</v>
      </c>
      <c r="E434" t="s">
        <v>688</v>
      </c>
      <c r="F434" t="s">
        <v>40</v>
      </c>
      <c r="G434" t="s">
        <v>49</v>
      </c>
      <c r="H434" s="1">
        <v>45305</v>
      </c>
      <c r="I434" s="1">
        <v>45306</v>
      </c>
      <c r="J434">
        <f>Sheet1[[#This Row],[Close Date]]-Sheet1[[#This Row],[Open Date]]</f>
        <v>1</v>
      </c>
      <c r="K434" t="str">
        <f>IF(Sheet1[[#This Row],[Actual Days]]&gt;=1,"Not Met","Met")</f>
        <v>Not Met</v>
      </c>
      <c r="L434" t="str">
        <f>TEXT(Sheet1[[#This Row],[Open Date]],"mmm")</f>
        <v>Jan</v>
      </c>
    </row>
    <row r="435" spans="1:12" x14ac:dyDescent="0.3">
      <c r="A435" t="s">
        <v>689</v>
      </c>
      <c r="B435" t="s">
        <v>36</v>
      </c>
      <c r="C435" t="s">
        <v>62</v>
      </c>
      <c r="D435" t="s">
        <v>156</v>
      </c>
      <c r="E435" t="s">
        <v>304</v>
      </c>
      <c r="F435" t="s">
        <v>17</v>
      </c>
      <c r="G435" t="s">
        <v>59</v>
      </c>
      <c r="H435" s="1">
        <v>45432</v>
      </c>
      <c r="I435" s="1">
        <v>45432</v>
      </c>
      <c r="J435">
        <f>Sheet1[[#This Row],[Close Date]]-Sheet1[[#This Row],[Open Date]]</f>
        <v>0</v>
      </c>
      <c r="K435" t="str">
        <f>IF(Sheet1[[#This Row],[Actual Days]]&gt;=1,"Not Met","Met")</f>
        <v>Met</v>
      </c>
      <c r="L435" t="str">
        <f>TEXT(Sheet1[[#This Row],[Open Date]],"mmm")</f>
        <v>May</v>
      </c>
    </row>
    <row r="436" spans="1:12" x14ac:dyDescent="0.3">
      <c r="A436" t="s">
        <v>690</v>
      </c>
      <c r="B436" t="s">
        <v>30</v>
      </c>
      <c r="C436" t="s">
        <v>31</v>
      </c>
      <c r="D436" t="s">
        <v>94</v>
      </c>
      <c r="E436" t="s">
        <v>306</v>
      </c>
      <c r="F436" t="s">
        <v>26</v>
      </c>
      <c r="G436" t="s">
        <v>18</v>
      </c>
      <c r="H436" s="1">
        <v>45405</v>
      </c>
      <c r="I436" s="1">
        <v>45405</v>
      </c>
      <c r="J436">
        <f>Sheet1[[#This Row],[Close Date]]-Sheet1[[#This Row],[Open Date]]</f>
        <v>0</v>
      </c>
      <c r="K436" t="str">
        <f>IF(Sheet1[[#This Row],[Actual Days]]&gt;=1,"Not Met","Met")</f>
        <v>Met</v>
      </c>
      <c r="L436" t="str">
        <f>TEXT(Sheet1[[#This Row],[Open Date]],"mmm")</f>
        <v>Apr</v>
      </c>
    </row>
    <row r="437" spans="1:12" x14ac:dyDescent="0.3">
      <c r="A437" t="s">
        <v>691</v>
      </c>
      <c r="B437" t="s">
        <v>42</v>
      </c>
      <c r="C437" t="s">
        <v>43</v>
      </c>
      <c r="D437" t="s">
        <v>15</v>
      </c>
      <c r="E437" t="s">
        <v>308</v>
      </c>
      <c r="F437" t="s">
        <v>26</v>
      </c>
      <c r="G437" t="s">
        <v>45</v>
      </c>
      <c r="H437" s="1">
        <v>45330</v>
      </c>
      <c r="I437" s="1">
        <v>45330</v>
      </c>
      <c r="J437">
        <f>Sheet1[[#This Row],[Close Date]]-Sheet1[[#This Row],[Open Date]]</f>
        <v>0</v>
      </c>
      <c r="K437" t="str">
        <f>IF(Sheet1[[#This Row],[Actual Days]]&gt;=1,"Not Met","Met")</f>
        <v>Met</v>
      </c>
      <c r="L437" t="str">
        <f>TEXT(Sheet1[[#This Row],[Open Date]],"mmm")</f>
        <v>Feb</v>
      </c>
    </row>
    <row r="438" spans="1:12" x14ac:dyDescent="0.3">
      <c r="A438" t="s">
        <v>692</v>
      </c>
      <c r="B438" t="s">
        <v>30</v>
      </c>
      <c r="C438" t="s">
        <v>31</v>
      </c>
      <c r="D438" t="s">
        <v>38</v>
      </c>
      <c r="E438" t="s">
        <v>310</v>
      </c>
      <c r="F438" t="s">
        <v>26</v>
      </c>
      <c r="G438" t="s">
        <v>49</v>
      </c>
      <c r="H438" s="1">
        <v>45414</v>
      </c>
      <c r="I438" s="1">
        <v>45414</v>
      </c>
      <c r="J438">
        <f>Sheet1[[#This Row],[Close Date]]-Sheet1[[#This Row],[Open Date]]</f>
        <v>0</v>
      </c>
      <c r="K438" t="str">
        <f>IF(Sheet1[[#This Row],[Actual Days]]&gt;=1,"Not Met","Met")</f>
        <v>Met</v>
      </c>
      <c r="L438" t="str">
        <f>TEXT(Sheet1[[#This Row],[Open Date]],"mmm")</f>
        <v>May</v>
      </c>
    </row>
    <row r="439" spans="1:12" x14ac:dyDescent="0.3">
      <c r="A439" t="s">
        <v>693</v>
      </c>
      <c r="B439" t="s">
        <v>13</v>
      </c>
      <c r="C439" t="s">
        <v>65</v>
      </c>
      <c r="D439" t="s">
        <v>94</v>
      </c>
      <c r="E439" t="s">
        <v>312</v>
      </c>
      <c r="F439" t="s">
        <v>40</v>
      </c>
      <c r="G439" t="s">
        <v>45</v>
      </c>
      <c r="H439" s="1">
        <v>45399</v>
      </c>
      <c r="I439" s="1">
        <v>45399</v>
      </c>
      <c r="J439">
        <f>Sheet1[[#This Row],[Close Date]]-Sheet1[[#This Row],[Open Date]]</f>
        <v>0</v>
      </c>
      <c r="K439" t="str">
        <f>IF(Sheet1[[#This Row],[Actual Days]]&gt;=1,"Not Met","Met")</f>
        <v>Met</v>
      </c>
      <c r="L439" t="str">
        <f>TEXT(Sheet1[[#This Row],[Open Date]],"mmm")</f>
        <v>Apr</v>
      </c>
    </row>
    <row r="440" spans="1:12" x14ac:dyDescent="0.3">
      <c r="A440" t="s">
        <v>694</v>
      </c>
      <c r="B440" t="s">
        <v>30</v>
      </c>
      <c r="C440" t="s">
        <v>51</v>
      </c>
      <c r="D440" t="s">
        <v>73</v>
      </c>
      <c r="E440" t="s">
        <v>314</v>
      </c>
      <c r="F440" t="s">
        <v>17</v>
      </c>
      <c r="G440" t="s">
        <v>18</v>
      </c>
      <c r="H440" s="1">
        <v>45304</v>
      </c>
      <c r="I440" s="1">
        <v>45304</v>
      </c>
      <c r="J440">
        <f>Sheet1[[#This Row],[Close Date]]-Sheet1[[#This Row],[Open Date]]</f>
        <v>0</v>
      </c>
      <c r="K440" t="str">
        <f>IF(Sheet1[[#This Row],[Actual Days]]&gt;=1,"Not Met","Met")</f>
        <v>Met</v>
      </c>
      <c r="L440" t="str">
        <f>TEXT(Sheet1[[#This Row],[Open Date]],"mmm")</f>
        <v>Jan</v>
      </c>
    </row>
    <row r="441" spans="1:12" x14ac:dyDescent="0.3">
      <c r="A441" t="s">
        <v>695</v>
      </c>
      <c r="B441" t="s">
        <v>22</v>
      </c>
      <c r="C441" t="s">
        <v>23</v>
      </c>
      <c r="D441" t="s">
        <v>38</v>
      </c>
      <c r="E441" t="s">
        <v>316</v>
      </c>
      <c r="F441" t="s">
        <v>17</v>
      </c>
      <c r="G441" t="s">
        <v>34</v>
      </c>
      <c r="H441" s="1">
        <v>45305</v>
      </c>
      <c r="I441" s="1">
        <v>45306</v>
      </c>
      <c r="J441">
        <f>Sheet1[[#This Row],[Close Date]]-Sheet1[[#This Row],[Open Date]]</f>
        <v>1</v>
      </c>
      <c r="K441" t="str">
        <f>IF(Sheet1[[#This Row],[Actual Days]]&gt;=1,"Not Met","Met")</f>
        <v>Not Met</v>
      </c>
      <c r="L441" t="str">
        <f>TEXT(Sheet1[[#This Row],[Open Date]],"mmm")</f>
        <v>Jan</v>
      </c>
    </row>
    <row r="442" spans="1:12" x14ac:dyDescent="0.3">
      <c r="A442" t="s">
        <v>696</v>
      </c>
      <c r="B442" t="s">
        <v>13</v>
      </c>
      <c r="C442" t="s">
        <v>65</v>
      </c>
      <c r="D442" t="s">
        <v>38</v>
      </c>
      <c r="E442" t="s">
        <v>318</v>
      </c>
      <c r="F442" t="s">
        <v>17</v>
      </c>
      <c r="G442" t="s">
        <v>59</v>
      </c>
      <c r="H442" s="1">
        <v>45337</v>
      </c>
      <c r="I442" s="1">
        <v>45337</v>
      </c>
      <c r="J442">
        <f>Sheet1[[#This Row],[Close Date]]-Sheet1[[#This Row],[Open Date]]</f>
        <v>0</v>
      </c>
      <c r="K442" t="str">
        <f>IF(Sheet1[[#This Row],[Actual Days]]&gt;=1,"Not Met","Met")</f>
        <v>Met</v>
      </c>
      <c r="L442" t="str">
        <f>TEXT(Sheet1[[#This Row],[Open Date]],"mmm")</f>
        <v>Feb</v>
      </c>
    </row>
    <row r="443" spans="1:12" x14ac:dyDescent="0.3">
      <c r="A443" t="s">
        <v>697</v>
      </c>
      <c r="B443" t="s">
        <v>30</v>
      </c>
      <c r="C443" t="s">
        <v>161</v>
      </c>
      <c r="D443" t="s">
        <v>15</v>
      </c>
      <c r="E443" t="s">
        <v>320</v>
      </c>
      <c r="F443" t="s">
        <v>26</v>
      </c>
      <c r="G443" t="s">
        <v>34</v>
      </c>
      <c r="H443" s="1">
        <v>45302</v>
      </c>
      <c r="I443" s="1">
        <v>45302</v>
      </c>
      <c r="J443">
        <f>Sheet1[[#This Row],[Close Date]]-Sheet1[[#This Row],[Open Date]]</f>
        <v>0</v>
      </c>
      <c r="K443" t="str">
        <f>IF(Sheet1[[#This Row],[Actual Days]]&gt;=1,"Not Met","Met")</f>
        <v>Met</v>
      </c>
      <c r="L443" t="str">
        <f>TEXT(Sheet1[[#This Row],[Open Date]],"mmm")</f>
        <v>Jan</v>
      </c>
    </row>
    <row r="444" spans="1:12" x14ac:dyDescent="0.3">
      <c r="A444" t="s">
        <v>698</v>
      </c>
      <c r="B444" t="s">
        <v>36</v>
      </c>
      <c r="C444" t="s">
        <v>76</v>
      </c>
      <c r="D444" t="s">
        <v>38</v>
      </c>
      <c r="E444" t="s">
        <v>322</v>
      </c>
      <c r="F444" t="s">
        <v>40</v>
      </c>
      <c r="G444" t="s">
        <v>59</v>
      </c>
      <c r="H444" s="1">
        <v>45381</v>
      </c>
      <c r="I444" s="1">
        <v>45381</v>
      </c>
      <c r="J444">
        <f>Sheet1[[#This Row],[Close Date]]-Sheet1[[#This Row],[Open Date]]</f>
        <v>0</v>
      </c>
      <c r="K444" t="str">
        <f>IF(Sheet1[[#This Row],[Actual Days]]&gt;=1,"Not Met","Met")</f>
        <v>Met</v>
      </c>
      <c r="L444" t="str">
        <f>TEXT(Sheet1[[#This Row],[Open Date]],"mmm")</f>
        <v>Mar</v>
      </c>
    </row>
    <row r="445" spans="1:12" x14ac:dyDescent="0.3">
      <c r="A445" t="s">
        <v>699</v>
      </c>
      <c r="B445" t="s">
        <v>13</v>
      </c>
      <c r="C445" t="s">
        <v>14</v>
      </c>
      <c r="D445" t="s">
        <v>156</v>
      </c>
      <c r="E445" t="s">
        <v>324</v>
      </c>
      <c r="F445" t="s">
        <v>17</v>
      </c>
      <c r="G445" t="s">
        <v>49</v>
      </c>
      <c r="H445" s="1">
        <v>45306</v>
      </c>
      <c r="I445" s="1">
        <v>45307</v>
      </c>
      <c r="J445">
        <f>Sheet1[[#This Row],[Close Date]]-Sheet1[[#This Row],[Open Date]]</f>
        <v>1</v>
      </c>
      <c r="K445" t="str">
        <f>IF(Sheet1[[#This Row],[Actual Days]]&gt;=1,"Not Met","Met")</f>
        <v>Not Met</v>
      </c>
      <c r="L445" t="str">
        <f>TEXT(Sheet1[[#This Row],[Open Date]],"mmm")</f>
        <v>Jan</v>
      </c>
    </row>
    <row r="446" spans="1:12" x14ac:dyDescent="0.3">
      <c r="A446" t="s">
        <v>700</v>
      </c>
      <c r="B446" t="s">
        <v>13</v>
      </c>
      <c r="C446" t="s">
        <v>68</v>
      </c>
      <c r="D446" t="s">
        <v>38</v>
      </c>
      <c r="E446" t="s">
        <v>326</v>
      </c>
      <c r="F446" t="s">
        <v>17</v>
      </c>
      <c r="G446" t="s">
        <v>45</v>
      </c>
      <c r="H446" s="1">
        <v>45386</v>
      </c>
      <c r="I446" s="1">
        <v>45386</v>
      </c>
      <c r="J446">
        <f>Sheet1[[#This Row],[Close Date]]-Sheet1[[#This Row],[Open Date]]</f>
        <v>0</v>
      </c>
      <c r="K446" t="str">
        <f>IF(Sheet1[[#This Row],[Actual Days]]&gt;=1,"Not Met","Met")</f>
        <v>Met</v>
      </c>
      <c r="L446" t="str">
        <f>TEXT(Sheet1[[#This Row],[Open Date]],"mmm")</f>
        <v>Apr</v>
      </c>
    </row>
    <row r="447" spans="1:12" x14ac:dyDescent="0.3">
      <c r="A447" t="s">
        <v>701</v>
      </c>
      <c r="B447" t="s">
        <v>13</v>
      </c>
      <c r="C447" t="s">
        <v>14</v>
      </c>
      <c r="D447" t="s">
        <v>32</v>
      </c>
      <c r="E447" t="s">
        <v>328</v>
      </c>
      <c r="F447" t="s">
        <v>26</v>
      </c>
      <c r="G447" t="s">
        <v>18</v>
      </c>
      <c r="H447" s="1">
        <v>45333</v>
      </c>
      <c r="I447" s="1">
        <v>45333</v>
      </c>
      <c r="J447">
        <f>Sheet1[[#This Row],[Close Date]]-Sheet1[[#This Row],[Open Date]]</f>
        <v>0</v>
      </c>
      <c r="K447" t="str">
        <f>IF(Sheet1[[#This Row],[Actual Days]]&gt;=1,"Not Met","Met")</f>
        <v>Met</v>
      </c>
      <c r="L447" t="str">
        <f>TEXT(Sheet1[[#This Row],[Open Date]],"mmm")</f>
        <v>Feb</v>
      </c>
    </row>
    <row r="448" spans="1:12" x14ac:dyDescent="0.3">
      <c r="A448" t="s">
        <v>702</v>
      </c>
      <c r="B448" t="s">
        <v>22</v>
      </c>
      <c r="C448" t="s">
        <v>101</v>
      </c>
      <c r="D448" t="s">
        <v>38</v>
      </c>
      <c r="E448" t="s">
        <v>330</v>
      </c>
      <c r="F448" t="s">
        <v>26</v>
      </c>
      <c r="G448" t="s">
        <v>59</v>
      </c>
      <c r="H448" s="1">
        <v>45353</v>
      </c>
      <c r="I448" s="1">
        <v>45353</v>
      </c>
      <c r="J448">
        <f>Sheet1[[#This Row],[Close Date]]-Sheet1[[#This Row],[Open Date]]</f>
        <v>0</v>
      </c>
      <c r="K448" t="str">
        <f>IF(Sheet1[[#This Row],[Actual Days]]&gt;=1,"Not Met","Met")</f>
        <v>Met</v>
      </c>
      <c r="L448" t="str">
        <f>TEXT(Sheet1[[#This Row],[Open Date]],"mmm")</f>
        <v>Mar</v>
      </c>
    </row>
    <row r="449" spans="1:12" x14ac:dyDescent="0.3">
      <c r="A449" t="s">
        <v>703</v>
      </c>
      <c r="B449" t="s">
        <v>42</v>
      </c>
      <c r="C449" t="s">
        <v>107</v>
      </c>
      <c r="D449" t="s">
        <v>38</v>
      </c>
      <c r="E449" t="s">
        <v>332</v>
      </c>
      <c r="F449" t="s">
        <v>26</v>
      </c>
      <c r="G449" t="s">
        <v>59</v>
      </c>
      <c r="H449" s="1">
        <v>45467</v>
      </c>
      <c r="I449" s="1">
        <v>45467</v>
      </c>
      <c r="J449">
        <f>Sheet1[[#This Row],[Close Date]]-Sheet1[[#This Row],[Open Date]]</f>
        <v>0</v>
      </c>
      <c r="K449" t="str">
        <f>IF(Sheet1[[#This Row],[Actual Days]]&gt;=1,"Not Met","Met")</f>
        <v>Met</v>
      </c>
      <c r="L449" t="str">
        <f>TEXT(Sheet1[[#This Row],[Open Date]],"mmm")</f>
        <v>Jun</v>
      </c>
    </row>
    <row r="450" spans="1:12" x14ac:dyDescent="0.3">
      <c r="A450" t="s">
        <v>704</v>
      </c>
      <c r="B450" t="s">
        <v>13</v>
      </c>
      <c r="C450" t="s">
        <v>68</v>
      </c>
      <c r="D450" t="s">
        <v>38</v>
      </c>
      <c r="E450" t="s">
        <v>334</v>
      </c>
      <c r="F450" t="s">
        <v>40</v>
      </c>
      <c r="G450" t="s">
        <v>45</v>
      </c>
      <c r="H450" s="1">
        <v>45352</v>
      </c>
      <c r="I450" s="1">
        <v>45352</v>
      </c>
      <c r="J450">
        <f>Sheet1[[#This Row],[Close Date]]-Sheet1[[#This Row],[Open Date]]</f>
        <v>0</v>
      </c>
      <c r="K450" t="str">
        <f>IF(Sheet1[[#This Row],[Actual Days]]&gt;=1,"Not Met","Met")</f>
        <v>Met</v>
      </c>
      <c r="L450" t="str">
        <f>TEXT(Sheet1[[#This Row],[Open Date]],"mmm")</f>
        <v>Mar</v>
      </c>
    </row>
    <row r="451" spans="1:12" x14ac:dyDescent="0.3">
      <c r="A451" t="s">
        <v>705</v>
      </c>
      <c r="B451" t="s">
        <v>22</v>
      </c>
      <c r="C451" t="s">
        <v>84</v>
      </c>
      <c r="D451" t="s">
        <v>24</v>
      </c>
      <c r="E451" t="s">
        <v>336</v>
      </c>
      <c r="F451" t="s">
        <v>17</v>
      </c>
      <c r="G451" t="s">
        <v>59</v>
      </c>
      <c r="H451" s="1">
        <v>45339</v>
      </c>
      <c r="I451" s="1">
        <v>45339</v>
      </c>
      <c r="J451">
        <f>Sheet1[[#This Row],[Close Date]]-Sheet1[[#This Row],[Open Date]]</f>
        <v>0</v>
      </c>
      <c r="K451" t="str">
        <f>IF(Sheet1[[#This Row],[Actual Days]]&gt;=1,"Not Met","Met")</f>
        <v>Met</v>
      </c>
      <c r="L451" t="str">
        <f>TEXT(Sheet1[[#This Row],[Open Date]],"mmm")</f>
        <v>Feb</v>
      </c>
    </row>
    <row r="452" spans="1:12" x14ac:dyDescent="0.3">
      <c r="A452" t="s">
        <v>706</v>
      </c>
      <c r="B452" t="s">
        <v>13</v>
      </c>
      <c r="C452" t="s">
        <v>14</v>
      </c>
      <c r="D452" t="s">
        <v>73</v>
      </c>
      <c r="E452" t="s">
        <v>338</v>
      </c>
      <c r="F452" t="s">
        <v>40</v>
      </c>
      <c r="G452" t="s">
        <v>49</v>
      </c>
      <c r="H452" s="1">
        <v>45304</v>
      </c>
      <c r="I452" s="1">
        <v>45305</v>
      </c>
      <c r="J452">
        <f>Sheet1[[#This Row],[Close Date]]-Sheet1[[#This Row],[Open Date]]</f>
        <v>1</v>
      </c>
      <c r="K452" t="str">
        <f>IF(Sheet1[[#This Row],[Actual Days]]&gt;=1,"Not Met","Met")</f>
        <v>Not Met</v>
      </c>
      <c r="L452" t="str">
        <f>TEXT(Sheet1[[#This Row],[Open Date]],"mmm")</f>
        <v>Jan</v>
      </c>
    </row>
    <row r="453" spans="1:12" x14ac:dyDescent="0.3">
      <c r="A453" t="s">
        <v>707</v>
      </c>
      <c r="B453" t="s">
        <v>22</v>
      </c>
      <c r="C453" t="s">
        <v>23</v>
      </c>
      <c r="D453" t="s">
        <v>15</v>
      </c>
      <c r="E453" t="s">
        <v>340</v>
      </c>
      <c r="F453" t="s">
        <v>26</v>
      </c>
      <c r="G453" t="s">
        <v>34</v>
      </c>
      <c r="H453" s="1">
        <v>45378</v>
      </c>
      <c r="I453" s="1">
        <v>45378</v>
      </c>
      <c r="J453">
        <f>Sheet1[[#This Row],[Close Date]]-Sheet1[[#This Row],[Open Date]]</f>
        <v>0</v>
      </c>
      <c r="K453" t="str">
        <f>IF(Sheet1[[#This Row],[Actual Days]]&gt;=1,"Not Met","Met")</f>
        <v>Met</v>
      </c>
      <c r="L453" t="str">
        <f>TEXT(Sheet1[[#This Row],[Open Date]],"mmm")</f>
        <v>Mar</v>
      </c>
    </row>
    <row r="454" spans="1:12" x14ac:dyDescent="0.3">
      <c r="A454" t="s">
        <v>708</v>
      </c>
      <c r="B454" t="s">
        <v>36</v>
      </c>
      <c r="C454" t="s">
        <v>37</v>
      </c>
      <c r="D454" t="s">
        <v>156</v>
      </c>
      <c r="E454" t="s">
        <v>342</v>
      </c>
      <c r="F454" t="s">
        <v>26</v>
      </c>
      <c r="G454" t="s">
        <v>59</v>
      </c>
      <c r="H454" s="1">
        <v>45360</v>
      </c>
      <c r="I454" s="1">
        <v>45360</v>
      </c>
      <c r="J454">
        <f>Sheet1[[#This Row],[Close Date]]-Sheet1[[#This Row],[Open Date]]</f>
        <v>0</v>
      </c>
      <c r="K454" t="str">
        <f>IF(Sheet1[[#This Row],[Actual Days]]&gt;=1,"Not Met","Met")</f>
        <v>Met</v>
      </c>
      <c r="L454" t="str">
        <f>TEXT(Sheet1[[#This Row],[Open Date]],"mmm")</f>
        <v>Mar</v>
      </c>
    </row>
    <row r="455" spans="1:12" x14ac:dyDescent="0.3">
      <c r="A455" t="s">
        <v>709</v>
      </c>
      <c r="B455" t="s">
        <v>22</v>
      </c>
      <c r="C455" t="s">
        <v>84</v>
      </c>
      <c r="D455" t="s">
        <v>15</v>
      </c>
      <c r="E455" t="s">
        <v>344</v>
      </c>
      <c r="F455" t="s">
        <v>40</v>
      </c>
      <c r="G455" t="s">
        <v>27</v>
      </c>
      <c r="H455" s="1">
        <v>45405</v>
      </c>
      <c r="I455" s="1">
        <v>45405</v>
      </c>
      <c r="J455">
        <f>Sheet1[[#This Row],[Close Date]]-Sheet1[[#This Row],[Open Date]]</f>
        <v>0</v>
      </c>
      <c r="K455" t="str">
        <f>IF(Sheet1[[#This Row],[Actual Days]]&gt;=1,"Not Met","Met")</f>
        <v>Met</v>
      </c>
      <c r="L455" t="str">
        <f>TEXT(Sheet1[[#This Row],[Open Date]],"mmm")</f>
        <v>Apr</v>
      </c>
    </row>
    <row r="456" spans="1:12" x14ac:dyDescent="0.3">
      <c r="A456" t="s">
        <v>710</v>
      </c>
      <c r="B456" t="s">
        <v>30</v>
      </c>
      <c r="C456" t="s">
        <v>161</v>
      </c>
      <c r="D456" t="s">
        <v>87</v>
      </c>
      <c r="E456" t="s">
        <v>346</v>
      </c>
      <c r="F456" t="s">
        <v>17</v>
      </c>
      <c r="G456" t="s">
        <v>18</v>
      </c>
      <c r="H456" s="1">
        <v>45393</v>
      </c>
      <c r="I456" s="1">
        <v>45393</v>
      </c>
      <c r="J456">
        <f>Sheet1[[#This Row],[Close Date]]-Sheet1[[#This Row],[Open Date]]</f>
        <v>0</v>
      </c>
      <c r="K456" t="str">
        <f>IF(Sheet1[[#This Row],[Actual Days]]&gt;=1,"Not Met","Met")</f>
        <v>Met</v>
      </c>
      <c r="L456" t="str">
        <f>TEXT(Sheet1[[#This Row],[Open Date]],"mmm")</f>
        <v>Apr</v>
      </c>
    </row>
    <row r="457" spans="1:12" x14ac:dyDescent="0.3">
      <c r="A457" t="s">
        <v>711</v>
      </c>
      <c r="B457" t="s">
        <v>22</v>
      </c>
      <c r="C457" t="s">
        <v>84</v>
      </c>
      <c r="D457" t="s">
        <v>87</v>
      </c>
      <c r="E457" t="s">
        <v>596</v>
      </c>
      <c r="F457" t="s">
        <v>26</v>
      </c>
      <c r="G457" t="s">
        <v>49</v>
      </c>
      <c r="H457" s="1">
        <v>45304</v>
      </c>
      <c r="I457" s="1">
        <v>45304</v>
      </c>
      <c r="J457">
        <f>Sheet1[[#This Row],[Close Date]]-Sheet1[[#This Row],[Open Date]]</f>
        <v>0</v>
      </c>
      <c r="K457" t="str">
        <f>IF(Sheet1[[#This Row],[Actual Days]]&gt;=1,"Not Met","Met")</f>
        <v>Met</v>
      </c>
      <c r="L457" t="str">
        <f>TEXT(Sheet1[[#This Row],[Open Date]],"mmm")</f>
        <v>Jan</v>
      </c>
    </row>
    <row r="458" spans="1:12" x14ac:dyDescent="0.3">
      <c r="A458" t="s">
        <v>712</v>
      </c>
      <c r="B458" t="s">
        <v>22</v>
      </c>
      <c r="C458" t="s">
        <v>84</v>
      </c>
      <c r="D458" t="s">
        <v>94</v>
      </c>
      <c r="E458" t="s">
        <v>348</v>
      </c>
      <c r="F458" t="s">
        <v>40</v>
      </c>
      <c r="G458" t="s">
        <v>34</v>
      </c>
      <c r="H458" s="1">
        <v>45375</v>
      </c>
      <c r="I458" s="1">
        <v>45375</v>
      </c>
      <c r="J458">
        <f>Sheet1[[#This Row],[Close Date]]-Sheet1[[#This Row],[Open Date]]</f>
        <v>0</v>
      </c>
      <c r="K458" t="str">
        <f>IF(Sheet1[[#This Row],[Actual Days]]&gt;=1,"Not Met","Met")</f>
        <v>Met</v>
      </c>
      <c r="L458" t="str">
        <f>TEXT(Sheet1[[#This Row],[Open Date]],"mmm")</f>
        <v>Mar</v>
      </c>
    </row>
    <row r="459" spans="1:12" x14ac:dyDescent="0.3">
      <c r="A459" t="s">
        <v>713</v>
      </c>
      <c r="B459" t="s">
        <v>13</v>
      </c>
      <c r="C459" t="s">
        <v>68</v>
      </c>
      <c r="D459" t="s">
        <v>24</v>
      </c>
      <c r="E459" t="s">
        <v>350</v>
      </c>
      <c r="F459" t="s">
        <v>17</v>
      </c>
      <c r="G459" t="s">
        <v>59</v>
      </c>
      <c r="H459" s="1">
        <v>45315</v>
      </c>
      <c r="I459" s="1">
        <v>45315</v>
      </c>
      <c r="J459">
        <f>Sheet1[[#This Row],[Close Date]]-Sheet1[[#This Row],[Open Date]]</f>
        <v>0</v>
      </c>
      <c r="K459" t="str">
        <f>IF(Sheet1[[#This Row],[Actual Days]]&gt;=1,"Not Met","Met")</f>
        <v>Met</v>
      </c>
      <c r="L459" t="str">
        <f>TEXT(Sheet1[[#This Row],[Open Date]],"mmm")</f>
        <v>Jan</v>
      </c>
    </row>
    <row r="460" spans="1:12" x14ac:dyDescent="0.3">
      <c r="A460" t="s">
        <v>714</v>
      </c>
      <c r="B460" t="s">
        <v>36</v>
      </c>
      <c r="C460" t="s">
        <v>76</v>
      </c>
      <c r="D460" t="s">
        <v>32</v>
      </c>
      <c r="E460" t="s">
        <v>352</v>
      </c>
      <c r="F460" t="s">
        <v>40</v>
      </c>
      <c r="G460" t="s">
        <v>27</v>
      </c>
      <c r="H460" s="1">
        <v>45399</v>
      </c>
      <c r="I460" s="1">
        <v>45399</v>
      </c>
      <c r="J460">
        <f>Sheet1[[#This Row],[Close Date]]-Sheet1[[#This Row],[Open Date]]</f>
        <v>0</v>
      </c>
      <c r="K460" t="str">
        <f>IF(Sheet1[[#This Row],[Actual Days]]&gt;=1,"Not Met","Met")</f>
        <v>Met</v>
      </c>
      <c r="L460" t="str">
        <f>TEXT(Sheet1[[#This Row],[Open Date]],"mmm")</f>
        <v>Apr</v>
      </c>
    </row>
    <row r="461" spans="1:12" x14ac:dyDescent="0.3">
      <c r="A461" t="s">
        <v>715</v>
      </c>
      <c r="B461" t="s">
        <v>36</v>
      </c>
      <c r="C461" t="s">
        <v>76</v>
      </c>
      <c r="D461" t="s">
        <v>38</v>
      </c>
      <c r="E461" t="s">
        <v>354</v>
      </c>
      <c r="F461" t="s">
        <v>40</v>
      </c>
      <c r="G461" t="s">
        <v>59</v>
      </c>
      <c r="H461" s="1">
        <v>45425</v>
      </c>
      <c r="I461" s="1">
        <v>45425</v>
      </c>
      <c r="J461">
        <f>Sheet1[[#This Row],[Close Date]]-Sheet1[[#This Row],[Open Date]]</f>
        <v>0</v>
      </c>
      <c r="K461" t="str">
        <f>IF(Sheet1[[#This Row],[Actual Days]]&gt;=1,"Not Met","Met")</f>
        <v>Met</v>
      </c>
      <c r="L461" t="str">
        <f>TEXT(Sheet1[[#This Row],[Open Date]],"mmm")</f>
        <v>May</v>
      </c>
    </row>
    <row r="462" spans="1:12" x14ac:dyDescent="0.3">
      <c r="A462" t="s">
        <v>716</v>
      </c>
      <c r="B462" t="s">
        <v>42</v>
      </c>
      <c r="C462" t="s">
        <v>43</v>
      </c>
      <c r="D462" t="s">
        <v>87</v>
      </c>
      <c r="E462" t="s">
        <v>356</v>
      </c>
      <c r="F462" t="s">
        <v>26</v>
      </c>
      <c r="G462" t="s">
        <v>49</v>
      </c>
      <c r="H462" s="1">
        <v>45405</v>
      </c>
      <c r="I462" s="1">
        <v>45405</v>
      </c>
      <c r="J462">
        <f>Sheet1[[#This Row],[Close Date]]-Sheet1[[#This Row],[Open Date]]</f>
        <v>0</v>
      </c>
      <c r="K462" t="str">
        <f>IF(Sheet1[[#This Row],[Actual Days]]&gt;=1,"Not Met","Met")</f>
        <v>Met</v>
      </c>
      <c r="L462" t="str">
        <f>TEXT(Sheet1[[#This Row],[Open Date]],"mmm")</f>
        <v>Apr</v>
      </c>
    </row>
    <row r="463" spans="1:12" x14ac:dyDescent="0.3">
      <c r="A463" t="s">
        <v>717</v>
      </c>
      <c r="B463" t="s">
        <v>13</v>
      </c>
      <c r="C463" t="s">
        <v>14</v>
      </c>
      <c r="D463" t="s">
        <v>15</v>
      </c>
      <c r="E463" t="s">
        <v>358</v>
      </c>
      <c r="F463" t="s">
        <v>40</v>
      </c>
      <c r="G463" t="s">
        <v>59</v>
      </c>
      <c r="H463" s="1">
        <v>45333</v>
      </c>
      <c r="I463" s="1">
        <v>45333</v>
      </c>
      <c r="J463">
        <f>Sheet1[[#This Row],[Close Date]]-Sheet1[[#This Row],[Open Date]]</f>
        <v>0</v>
      </c>
      <c r="K463" t="str">
        <f>IF(Sheet1[[#This Row],[Actual Days]]&gt;=1,"Not Met","Met")</f>
        <v>Met</v>
      </c>
      <c r="L463" t="str">
        <f>TEXT(Sheet1[[#This Row],[Open Date]],"mmm")</f>
        <v>Feb</v>
      </c>
    </row>
    <row r="464" spans="1:12" x14ac:dyDescent="0.3">
      <c r="A464" t="s">
        <v>718</v>
      </c>
      <c r="B464" t="s">
        <v>36</v>
      </c>
      <c r="C464" t="s">
        <v>37</v>
      </c>
      <c r="D464" t="s">
        <v>156</v>
      </c>
      <c r="E464" t="s">
        <v>360</v>
      </c>
      <c r="F464" t="s">
        <v>17</v>
      </c>
      <c r="G464" t="s">
        <v>18</v>
      </c>
      <c r="H464" s="1">
        <v>45379</v>
      </c>
      <c r="I464" s="1">
        <v>45379</v>
      </c>
      <c r="J464">
        <f>Sheet1[[#This Row],[Close Date]]-Sheet1[[#This Row],[Open Date]]</f>
        <v>0</v>
      </c>
      <c r="K464" t="str">
        <f>IF(Sheet1[[#This Row],[Actual Days]]&gt;=1,"Not Met","Met")</f>
        <v>Met</v>
      </c>
      <c r="L464" t="str">
        <f>TEXT(Sheet1[[#This Row],[Open Date]],"mmm")</f>
        <v>Mar</v>
      </c>
    </row>
    <row r="465" spans="1:12" x14ac:dyDescent="0.3">
      <c r="A465" t="s">
        <v>719</v>
      </c>
      <c r="B465" t="s">
        <v>22</v>
      </c>
      <c r="C465" t="s">
        <v>84</v>
      </c>
      <c r="D465" t="s">
        <v>87</v>
      </c>
      <c r="E465" t="s">
        <v>362</v>
      </c>
      <c r="F465" t="s">
        <v>17</v>
      </c>
      <c r="G465" t="s">
        <v>45</v>
      </c>
      <c r="H465" s="1">
        <v>45447</v>
      </c>
      <c r="I465" s="1">
        <v>45447</v>
      </c>
      <c r="J465">
        <f>Sheet1[[#This Row],[Close Date]]-Sheet1[[#This Row],[Open Date]]</f>
        <v>0</v>
      </c>
      <c r="K465" t="str">
        <f>IF(Sheet1[[#This Row],[Actual Days]]&gt;=1,"Not Met","Met")</f>
        <v>Met</v>
      </c>
      <c r="L465" t="str">
        <f>TEXT(Sheet1[[#This Row],[Open Date]],"mmm")</f>
        <v>Jun</v>
      </c>
    </row>
    <row r="466" spans="1:12" x14ac:dyDescent="0.3">
      <c r="A466" t="s">
        <v>720</v>
      </c>
      <c r="B466" t="s">
        <v>30</v>
      </c>
      <c r="C466" t="s">
        <v>31</v>
      </c>
      <c r="D466" t="s">
        <v>32</v>
      </c>
      <c r="E466" t="s">
        <v>33</v>
      </c>
      <c r="F466" t="s">
        <v>26</v>
      </c>
      <c r="G466" t="s">
        <v>34</v>
      </c>
      <c r="H466" s="1">
        <v>45331</v>
      </c>
      <c r="I466" s="1">
        <v>45331</v>
      </c>
      <c r="J466">
        <f>Sheet1[[#This Row],[Close Date]]-Sheet1[[#This Row],[Open Date]]</f>
        <v>0</v>
      </c>
      <c r="K466" t="str">
        <f>IF(Sheet1[[#This Row],[Actual Days]]&gt;=1,"Not Met","Met")</f>
        <v>Met</v>
      </c>
      <c r="L466" t="str">
        <f>TEXT(Sheet1[[#This Row],[Open Date]],"mmm")</f>
        <v>Feb</v>
      </c>
    </row>
    <row r="467" spans="1:12" x14ac:dyDescent="0.3">
      <c r="A467" t="s">
        <v>721</v>
      </c>
      <c r="B467" t="s">
        <v>30</v>
      </c>
      <c r="C467" t="s">
        <v>51</v>
      </c>
      <c r="D467" t="s">
        <v>15</v>
      </c>
      <c r="E467" t="s">
        <v>52</v>
      </c>
      <c r="F467" t="s">
        <v>40</v>
      </c>
      <c r="G467" t="s">
        <v>49</v>
      </c>
      <c r="H467" s="1">
        <v>45314</v>
      </c>
      <c r="I467" s="1">
        <v>45315</v>
      </c>
      <c r="J467">
        <f>Sheet1[[#This Row],[Close Date]]-Sheet1[[#This Row],[Open Date]]</f>
        <v>1</v>
      </c>
      <c r="K467" t="str">
        <f>IF(Sheet1[[#This Row],[Actual Days]]&gt;=1,"Not Met","Met")</f>
        <v>Not Met</v>
      </c>
      <c r="L467" t="str">
        <f>TEXT(Sheet1[[#This Row],[Open Date]],"mmm")</f>
        <v>Jan</v>
      </c>
    </row>
    <row r="468" spans="1:12" x14ac:dyDescent="0.3">
      <c r="A468" t="s">
        <v>722</v>
      </c>
      <c r="B468" t="s">
        <v>30</v>
      </c>
      <c r="C468" t="s">
        <v>51</v>
      </c>
      <c r="D468" t="s">
        <v>32</v>
      </c>
      <c r="E468" t="s">
        <v>55</v>
      </c>
      <c r="F468" t="s">
        <v>17</v>
      </c>
      <c r="G468" t="s">
        <v>34</v>
      </c>
      <c r="H468" s="1">
        <v>45400</v>
      </c>
      <c r="I468" s="1">
        <v>45400</v>
      </c>
      <c r="J468">
        <f>Sheet1[[#This Row],[Close Date]]-Sheet1[[#This Row],[Open Date]]</f>
        <v>0</v>
      </c>
      <c r="K468" t="str">
        <f>IF(Sheet1[[#This Row],[Actual Days]]&gt;=1,"Not Met","Met")</f>
        <v>Met</v>
      </c>
      <c r="L468" t="str">
        <f>TEXT(Sheet1[[#This Row],[Open Date]],"mmm")</f>
        <v>Apr</v>
      </c>
    </row>
    <row r="469" spans="1:12" x14ac:dyDescent="0.3">
      <c r="A469" t="s">
        <v>723</v>
      </c>
      <c r="B469" t="s">
        <v>30</v>
      </c>
      <c r="C469" t="s">
        <v>51</v>
      </c>
      <c r="D469" t="s">
        <v>38</v>
      </c>
      <c r="E469" t="s">
        <v>92</v>
      </c>
      <c r="F469" t="s">
        <v>40</v>
      </c>
      <c r="G469" t="s">
        <v>18</v>
      </c>
      <c r="H469" s="1">
        <v>45329</v>
      </c>
      <c r="I469" s="1">
        <v>45329</v>
      </c>
      <c r="J469">
        <f>Sheet1[[#This Row],[Close Date]]-Sheet1[[#This Row],[Open Date]]</f>
        <v>0</v>
      </c>
      <c r="K469" t="str">
        <f>IF(Sheet1[[#This Row],[Actual Days]]&gt;=1,"Not Met","Met")</f>
        <v>Met</v>
      </c>
      <c r="L469" t="str">
        <f>TEXT(Sheet1[[#This Row],[Open Date]],"mmm")</f>
        <v>Feb</v>
      </c>
    </row>
    <row r="470" spans="1:12" x14ac:dyDescent="0.3">
      <c r="A470" t="s">
        <v>724</v>
      </c>
      <c r="B470" t="s">
        <v>30</v>
      </c>
      <c r="C470" t="s">
        <v>51</v>
      </c>
      <c r="D470" t="s">
        <v>38</v>
      </c>
      <c r="E470" t="s">
        <v>116</v>
      </c>
      <c r="F470" t="s">
        <v>40</v>
      </c>
      <c r="G470" t="s">
        <v>18</v>
      </c>
      <c r="H470" s="1">
        <v>45430</v>
      </c>
      <c r="I470" s="1">
        <v>45430</v>
      </c>
      <c r="J470">
        <f>Sheet1[[#This Row],[Close Date]]-Sheet1[[#This Row],[Open Date]]</f>
        <v>0</v>
      </c>
      <c r="K470" t="str">
        <f>IF(Sheet1[[#This Row],[Actual Days]]&gt;=1,"Not Met","Met")</f>
        <v>Met</v>
      </c>
      <c r="L470" t="str">
        <f>TEXT(Sheet1[[#This Row],[Open Date]],"mmm")</f>
        <v>May</v>
      </c>
    </row>
    <row r="471" spans="1:12" x14ac:dyDescent="0.3">
      <c r="A471" t="s">
        <v>725</v>
      </c>
      <c r="B471" t="s">
        <v>30</v>
      </c>
      <c r="C471" t="s">
        <v>31</v>
      </c>
      <c r="D471" t="s">
        <v>32</v>
      </c>
      <c r="E471" t="s">
        <v>144</v>
      </c>
      <c r="F471" t="s">
        <v>40</v>
      </c>
      <c r="G471" t="s">
        <v>45</v>
      </c>
      <c r="H471" s="1">
        <v>45321</v>
      </c>
      <c r="I471" s="1">
        <v>45321</v>
      </c>
      <c r="J471">
        <f>Sheet1[[#This Row],[Close Date]]-Sheet1[[#This Row],[Open Date]]</f>
        <v>0</v>
      </c>
      <c r="K471" t="str">
        <f>IF(Sheet1[[#This Row],[Actual Days]]&gt;=1,"Not Met","Met")</f>
        <v>Met</v>
      </c>
      <c r="L471" t="str">
        <f>TEXT(Sheet1[[#This Row],[Open Date]],"mmm")</f>
        <v>Jan</v>
      </c>
    </row>
    <row r="472" spans="1:12" x14ac:dyDescent="0.3">
      <c r="A472" t="s">
        <v>726</v>
      </c>
      <c r="B472" t="s">
        <v>30</v>
      </c>
      <c r="C472" t="s">
        <v>31</v>
      </c>
      <c r="D472" t="s">
        <v>87</v>
      </c>
      <c r="E472" t="s">
        <v>146</v>
      </c>
      <c r="F472" t="s">
        <v>40</v>
      </c>
      <c r="G472" t="s">
        <v>27</v>
      </c>
      <c r="H472" s="1">
        <v>45418</v>
      </c>
      <c r="I472" s="1">
        <v>45418</v>
      </c>
      <c r="J472">
        <f>Sheet1[[#This Row],[Close Date]]-Sheet1[[#This Row],[Open Date]]</f>
        <v>0</v>
      </c>
      <c r="K472" t="str">
        <f>IF(Sheet1[[#This Row],[Actual Days]]&gt;=1,"Not Met","Met")</f>
        <v>Met</v>
      </c>
      <c r="L472" t="str">
        <f>TEXT(Sheet1[[#This Row],[Open Date]],"mmm")</f>
        <v>May</v>
      </c>
    </row>
    <row r="473" spans="1:12" x14ac:dyDescent="0.3">
      <c r="A473" t="s">
        <v>727</v>
      </c>
      <c r="B473" t="s">
        <v>30</v>
      </c>
      <c r="C473" t="s">
        <v>161</v>
      </c>
      <c r="D473" t="s">
        <v>24</v>
      </c>
      <c r="E473" t="s">
        <v>162</v>
      </c>
      <c r="F473" t="s">
        <v>17</v>
      </c>
      <c r="G473" t="s">
        <v>45</v>
      </c>
      <c r="H473" s="1">
        <v>45423</v>
      </c>
      <c r="I473" s="1">
        <v>45423</v>
      </c>
      <c r="J473">
        <f>Sheet1[[#This Row],[Close Date]]-Sheet1[[#This Row],[Open Date]]</f>
        <v>0</v>
      </c>
      <c r="K473" t="str">
        <f>IF(Sheet1[[#This Row],[Actual Days]]&gt;=1,"Not Met","Met")</f>
        <v>Met</v>
      </c>
      <c r="L473" t="str">
        <f>TEXT(Sheet1[[#This Row],[Open Date]],"mmm")</f>
        <v>May</v>
      </c>
    </row>
    <row r="474" spans="1:12" x14ac:dyDescent="0.3">
      <c r="A474" t="s">
        <v>728</v>
      </c>
      <c r="B474" t="s">
        <v>30</v>
      </c>
      <c r="C474" t="s">
        <v>51</v>
      </c>
      <c r="D474" t="s">
        <v>38</v>
      </c>
      <c r="E474" t="s">
        <v>180</v>
      </c>
      <c r="F474" t="s">
        <v>40</v>
      </c>
      <c r="G474" t="s">
        <v>34</v>
      </c>
      <c r="H474" s="1">
        <v>45430</v>
      </c>
      <c r="I474" s="1">
        <v>45430</v>
      </c>
      <c r="J474">
        <f>Sheet1[[#This Row],[Close Date]]-Sheet1[[#This Row],[Open Date]]</f>
        <v>0</v>
      </c>
      <c r="K474" t="str">
        <f>IF(Sheet1[[#This Row],[Actual Days]]&gt;=1,"Not Met","Met")</f>
        <v>Met</v>
      </c>
      <c r="L474" t="str">
        <f>TEXT(Sheet1[[#This Row],[Open Date]],"mmm")</f>
        <v>May</v>
      </c>
    </row>
    <row r="475" spans="1:12" x14ac:dyDescent="0.3">
      <c r="A475" t="s">
        <v>729</v>
      </c>
      <c r="B475" t="s">
        <v>30</v>
      </c>
      <c r="C475" t="s">
        <v>51</v>
      </c>
      <c r="D475" t="s">
        <v>38</v>
      </c>
      <c r="E475" t="s">
        <v>186</v>
      </c>
      <c r="F475" t="s">
        <v>40</v>
      </c>
      <c r="G475" t="s">
        <v>18</v>
      </c>
      <c r="H475" s="1">
        <v>45421</v>
      </c>
      <c r="I475" s="1">
        <v>45421</v>
      </c>
      <c r="J475">
        <f>Sheet1[[#This Row],[Close Date]]-Sheet1[[#This Row],[Open Date]]</f>
        <v>0</v>
      </c>
      <c r="K475" t="str">
        <f>IF(Sheet1[[#This Row],[Actual Days]]&gt;=1,"Not Met","Met")</f>
        <v>Met</v>
      </c>
      <c r="L475" t="str">
        <f>TEXT(Sheet1[[#This Row],[Open Date]],"mmm")</f>
        <v>May</v>
      </c>
    </row>
    <row r="476" spans="1:12" x14ac:dyDescent="0.3">
      <c r="A476" t="s">
        <v>730</v>
      </c>
      <c r="B476" t="s">
        <v>30</v>
      </c>
      <c r="C476" t="s">
        <v>161</v>
      </c>
      <c r="D476" t="s">
        <v>32</v>
      </c>
      <c r="E476" t="s">
        <v>188</v>
      </c>
      <c r="F476" t="s">
        <v>40</v>
      </c>
      <c r="G476" t="s">
        <v>18</v>
      </c>
      <c r="H476" s="1">
        <v>45309</v>
      </c>
      <c r="I476" s="1">
        <v>45309</v>
      </c>
      <c r="J476">
        <f>Sheet1[[#This Row],[Close Date]]-Sheet1[[#This Row],[Open Date]]</f>
        <v>0</v>
      </c>
      <c r="K476" t="str">
        <f>IF(Sheet1[[#This Row],[Actual Days]]&gt;=1,"Not Met","Met")</f>
        <v>Met</v>
      </c>
      <c r="L476" t="str">
        <f>TEXT(Sheet1[[#This Row],[Open Date]],"mmm")</f>
        <v>Jan</v>
      </c>
    </row>
    <row r="477" spans="1:12" x14ac:dyDescent="0.3">
      <c r="A477" t="s">
        <v>731</v>
      </c>
      <c r="B477" t="s">
        <v>30</v>
      </c>
      <c r="C477" t="s">
        <v>31</v>
      </c>
      <c r="D477" t="s">
        <v>24</v>
      </c>
      <c r="E477" t="s">
        <v>192</v>
      </c>
      <c r="F477" t="s">
        <v>26</v>
      </c>
      <c r="G477" t="s">
        <v>27</v>
      </c>
      <c r="H477" s="1">
        <v>45406</v>
      </c>
      <c r="I477" s="1">
        <v>45406</v>
      </c>
      <c r="J477">
        <f>Sheet1[[#This Row],[Close Date]]-Sheet1[[#This Row],[Open Date]]</f>
        <v>0</v>
      </c>
      <c r="K477" t="str">
        <f>IF(Sheet1[[#This Row],[Actual Days]]&gt;=1,"Not Met","Met")</f>
        <v>Met</v>
      </c>
      <c r="L477" t="str">
        <f>TEXT(Sheet1[[#This Row],[Open Date]],"mmm")</f>
        <v>Apr</v>
      </c>
    </row>
    <row r="478" spans="1:12" x14ac:dyDescent="0.3">
      <c r="A478" t="s">
        <v>732</v>
      </c>
      <c r="B478" t="s">
        <v>30</v>
      </c>
      <c r="C478" t="s">
        <v>161</v>
      </c>
      <c r="D478" t="s">
        <v>15</v>
      </c>
      <c r="E478" t="s">
        <v>196</v>
      </c>
      <c r="F478" t="s">
        <v>17</v>
      </c>
      <c r="G478" t="s">
        <v>45</v>
      </c>
      <c r="H478" s="1">
        <v>45408</v>
      </c>
      <c r="I478" s="1">
        <v>45408</v>
      </c>
      <c r="J478">
        <f>Sheet1[[#This Row],[Close Date]]-Sheet1[[#This Row],[Open Date]]</f>
        <v>0</v>
      </c>
      <c r="K478" t="str">
        <f>IF(Sheet1[[#This Row],[Actual Days]]&gt;=1,"Not Met","Met")</f>
        <v>Met</v>
      </c>
      <c r="L478" t="str">
        <f>TEXT(Sheet1[[#This Row],[Open Date]],"mmm")</f>
        <v>Apr</v>
      </c>
    </row>
    <row r="479" spans="1:12" x14ac:dyDescent="0.3">
      <c r="A479" t="s">
        <v>733</v>
      </c>
      <c r="B479" t="s">
        <v>30</v>
      </c>
      <c r="C479" t="s">
        <v>161</v>
      </c>
      <c r="D479" t="s">
        <v>24</v>
      </c>
      <c r="E479" t="s">
        <v>200</v>
      </c>
      <c r="F479" t="s">
        <v>17</v>
      </c>
      <c r="G479" t="s">
        <v>34</v>
      </c>
      <c r="H479" s="1">
        <v>45397</v>
      </c>
      <c r="I479" s="1">
        <v>45397</v>
      </c>
      <c r="J479">
        <f>Sheet1[[#This Row],[Close Date]]-Sheet1[[#This Row],[Open Date]]</f>
        <v>0</v>
      </c>
      <c r="K479" t="str">
        <f>IF(Sheet1[[#This Row],[Actual Days]]&gt;=1,"Not Met","Met")</f>
        <v>Met</v>
      </c>
      <c r="L479" t="str">
        <f>TEXT(Sheet1[[#This Row],[Open Date]],"mmm")</f>
        <v>Apr</v>
      </c>
    </row>
    <row r="480" spans="1:12" x14ac:dyDescent="0.3">
      <c r="A480" t="s">
        <v>734</v>
      </c>
      <c r="B480" t="s">
        <v>30</v>
      </c>
      <c r="C480" t="s">
        <v>31</v>
      </c>
      <c r="D480" t="s">
        <v>94</v>
      </c>
      <c r="E480" t="s">
        <v>214</v>
      </c>
      <c r="F480" t="s">
        <v>17</v>
      </c>
      <c r="G480" t="s">
        <v>34</v>
      </c>
      <c r="H480" s="1">
        <v>45416</v>
      </c>
      <c r="I480" s="1">
        <v>45416</v>
      </c>
      <c r="J480">
        <f>Sheet1[[#This Row],[Close Date]]-Sheet1[[#This Row],[Open Date]]</f>
        <v>0</v>
      </c>
      <c r="K480" t="str">
        <f>IF(Sheet1[[#This Row],[Actual Days]]&gt;=1,"Not Met","Met")</f>
        <v>Met</v>
      </c>
      <c r="L480" t="str">
        <f>TEXT(Sheet1[[#This Row],[Open Date]],"mmm")</f>
        <v>May</v>
      </c>
    </row>
    <row r="481" spans="1:12" x14ac:dyDescent="0.3">
      <c r="A481" t="s">
        <v>735</v>
      </c>
      <c r="B481" t="s">
        <v>30</v>
      </c>
      <c r="C481" t="s">
        <v>161</v>
      </c>
      <c r="D481" t="s">
        <v>73</v>
      </c>
      <c r="E481" t="s">
        <v>218</v>
      </c>
      <c r="F481" t="s">
        <v>17</v>
      </c>
      <c r="G481" t="s">
        <v>45</v>
      </c>
      <c r="H481" s="1">
        <v>45356</v>
      </c>
      <c r="I481" s="1">
        <v>45356</v>
      </c>
      <c r="J481">
        <f>Sheet1[[#This Row],[Close Date]]-Sheet1[[#This Row],[Open Date]]</f>
        <v>0</v>
      </c>
      <c r="K481" t="str">
        <f>IF(Sheet1[[#This Row],[Actual Days]]&gt;=1,"Not Met","Met")</f>
        <v>Met</v>
      </c>
      <c r="L481" t="str">
        <f>TEXT(Sheet1[[#This Row],[Open Date]],"mmm")</f>
        <v>Mar</v>
      </c>
    </row>
    <row r="482" spans="1:12" x14ac:dyDescent="0.3">
      <c r="A482" t="s">
        <v>736</v>
      </c>
      <c r="B482" t="s">
        <v>30</v>
      </c>
      <c r="C482" t="s">
        <v>51</v>
      </c>
      <c r="D482" t="s">
        <v>73</v>
      </c>
      <c r="E482" t="s">
        <v>226</v>
      </c>
      <c r="F482" t="s">
        <v>17</v>
      </c>
      <c r="G482" t="s">
        <v>34</v>
      </c>
      <c r="H482" s="1">
        <v>45377</v>
      </c>
      <c r="I482" s="1">
        <v>45377</v>
      </c>
      <c r="J482">
        <f>Sheet1[[#This Row],[Close Date]]-Sheet1[[#This Row],[Open Date]]</f>
        <v>0</v>
      </c>
      <c r="K482" t="str">
        <f>IF(Sheet1[[#This Row],[Actual Days]]&gt;=1,"Not Met","Met")</f>
        <v>Met</v>
      </c>
      <c r="L482" t="str">
        <f>TEXT(Sheet1[[#This Row],[Open Date]],"mmm")</f>
        <v>Mar</v>
      </c>
    </row>
    <row r="483" spans="1:12" x14ac:dyDescent="0.3">
      <c r="A483" t="s">
        <v>737</v>
      </c>
      <c r="B483" t="s">
        <v>30</v>
      </c>
      <c r="C483" t="s">
        <v>161</v>
      </c>
      <c r="D483" t="s">
        <v>38</v>
      </c>
      <c r="E483" t="s">
        <v>230</v>
      </c>
      <c r="F483" t="s">
        <v>26</v>
      </c>
      <c r="G483" t="s">
        <v>27</v>
      </c>
      <c r="H483" s="1">
        <v>45409</v>
      </c>
      <c r="I483" s="1">
        <v>45409</v>
      </c>
      <c r="J483">
        <f>Sheet1[[#This Row],[Close Date]]-Sheet1[[#This Row],[Open Date]]</f>
        <v>0</v>
      </c>
      <c r="K483" t="str">
        <f>IF(Sheet1[[#This Row],[Actual Days]]&gt;=1,"Not Met","Met")</f>
        <v>Met</v>
      </c>
      <c r="L483" t="str">
        <f>TEXT(Sheet1[[#This Row],[Open Date]],"mmm")</f>
        <v>Apr</v>
      </c>
    </row>
    <row r="484" spans="1:12" x14ac:dyDescent="0.3">
      <c r="A484" t="s">
        <v>738</v>
      </c>
      <c r="B484" t="s">
        <v>30</v>
      </c>
      <c r="C484" t="s">
        <v>161</v>
      </c>
      <c r="D484" t="s">
        <v>38</v>
      </c>
      <c r="E484" t="s">
        <v>242</v>
      </c>
      <c r="F484" t="s">
        <v>40</v>
      </c>
      <c r="G484" t="s">
        <v>59</v>
      </c>
      <c r="H484" s="1">
        <v>45372</v>
      </c>
      <c r="I484" s="1">
        <v>45372</v>
      </c>
      <c r="J484">
        <f>Sheet1[[#This Row],[Close Date]]-Sheet1[[#This Row],[Open Date]]</f>
        <v>0</v>
      </c>
      <c r="K484" t="str">
        <f>IF(Sheet1[[#This Row],[Actual Days]]&gt;=1,"Not Met","Met")</f>
        <v>Met</v>
      </c>
      <c r="L484" t="str">
        <f>TEXT(Sheet1[[#This Row],[Open Date]],"mmm")</f>
        <v>Mar</v>
      </c>
    </row>
    <row r="485" spans="1:12" x14ac:dyDescent="0.3">
      <c r="A485" t="s">
        <v>739</v>
      </c>
      <c r="B485" t="s">
        <v>30</v>
      </c>
      <c r="C485" t="s">
        <v>31</v>
      </c>
      <c r="D485" t="s">
        <v>94</v>
      </c>
      <c r="E485" t="s">
        <v>252</v>
      </c>
      <c r="F485" t="s">
        <v>40</v>
      </c>
      <c r="G485" t="s">
        <v>18</v>
      </c>
      <c r="H485" s="1">
        <v>45356</v>
      </c>
      <c r="I485" s="1">
        <v>45356</v>
      </c>
      <c r="J485">
        <f>Sheet1[[#This Row],[Close Date]]-Sheet1[[#This Row],[Open Date]]</f>
        <v>0</v>
      </c>
      <c r="K485" t="str">
        <f>IF(Sheet1[[#This Row],[Actual Days]]&gt;=1,"Not Met","Met")</f>
        <v>Met</v>
      </c>
      <c r="L485" t="str">
        <f>TEXT(Sheet1[[#This Row],[Open Date]],"mmm")</f>
        <v>Mar</v>
      </c>
    </row>
    <row r="486" spans="1:12" x14ac:dyDescent="0.3">
      <c r="A486" t="s">
        <v>740</v>
      </c>
      <c r="B486" t="s">
        <v>30</v>
      </c>
      <c r="C486" t="s">
        <v>51</v>
      </c>
      <c r="D486" t="s">
        <v>94</v>
      </c>
      <c r="E486" t="s">
        <v>260</v>
      </c>
      <c r="F486" t="s">
        <v>40</v>
      </c>
      <c r="G486" t="s">
        <v>27</v>
      </c>
      <c r="H486" s="1">
        <v>45415</v>
      </c>
      <c r="I486" s="1">
        <v>45415</v>
      </c>
      <c r="J486">
        <f>Sheet1[[#This Row],[Close Date]]-Sheet1[[#This Row],[Open Date]]</f>
        <v>0</v>
      </c>
      <c r="K486" t="str">
        <f>IF(Sheet1[[#This Row],[Actual Days]]&gt;=1,"Not Met","Met")</f>
        <v>Met</v>
      </c>
      <c r="L486" t="str">
        <f>TEXT(Sheet1[[#This Row],[Open Date]],"mmm")</f>
        <v>May</v>
      </c>
    </row>
    <row r="487" spans="1:12" x14ac:dyDescent="0.3">
      <c r="A487" t="s">
        <v>741</v>
      </c>
      <c r="B487" t="s">
        <v>30</v>
      </c>
      <c r="C487" t="s">
        <v>51</v>
      </c>
      <c r="D487" t="s">
        <v>156</v>
      </c>
      <c r="E487" t="s">
        <v>266</v>
      </c>
      <c r="F487" t="s">
        <v>17</v>
      </c>
      <c r="G487" t="s">
        <v>45</v>
      </c>
      <c r="H487" s="1">
        <v>45412</v>
      </c>
      <c r="I487" s="1">
        <v>45412</v>
      </c>
      <c r="J487">
        <f>Sheet1[[#This Row],[Close Date]]-Sheet1[[#This Row],[Open Date]]</f>
        <v>0</v>
      </c>
      <c r="K487" t="str">
        <f>IF(Sheet1[[#This Row],[Actual Days]]&gt;=1,"Not Met","Met")</f>
        <v>Met</v>
      </c>
      <c r="L487" t="str">
        <f>TEXT(Sheet1[[#This Row],[Open Date]],"mmm")</f>
        <v>Apr</v>
      </c>
    </row>
    <row r="488" spans="1:12" x14ac:dyDescent="0.3">
      <c r="A488" t="s">
        <v>742</v>
      </c>
      <c r="B488" t="s">
        <v>30</v>
      </c>
      <c r="C488" t="s">
        <v>51</v>
      </c>
      <c r="D488" t="s">
        <v>38</v>
      </c>
      <c r="E488" t="s">
        <v>272</v>
      </c>
      <c r="F488" t="s">
        <v>40</v>
      </c>
      <c r="G488" t="s">
        <v>27</v>
      </c>
      <c r="H488" s="1">
        <v>45356</v>
      </c>
      <c r="I488" s="1">
        <v>45357</v>
      </c>
      <c r="J488">
        <f>Sheet1[[#This Row],[Close Date]]-Sheet1[[#This Row],[Open Date]]</f>
        <v>1</v>
      </c>
      <c r="K488" t="str">
        <f>IF(Sheet1[[#This Row],[Actual Days]]&gt;=1,"Not Met","Met")</f>
        <v>Not Met</v>
      </c>
      <c r="L488" t="str">
        <f>TEXT(Sheet1[[#This Row],[Open Date]],"mmm")</f>
        <v>Mar</v>
      </c>
    </row>
    <row r="489" spans="1:12" x14ac:dyDescent="0.3">
      <c r="A489" t="s">
        <v>743</v>
      </c>
      <c r="B489" t="s">
        <v>30</v>
      </c>
      <c r="C489" t="s">
        <v>31</v>
      </c>
      <c r="D489" t="s">
        <v>38</v>
      </c>
      <c r="E489" t="s">
        <v>274</v>
      </c>
      <c r="F489" t="s">
        <v>40</v>
      </c>
      <c r="G489" t="s">
        <v>34</v>
      </c>
      <c r="H489" s="1">
        <v>45430</v>
      </c>
      <c r="I489" s="1">
        <v>45430</v>
      </c>
      <c r="J489">
        <f>Sheet1[[#This Row],[Close Date]]-Sheet1[[#This Row],[Open Date]]</f>
        <v>0</v>
      </c>
      <c r="K489" t="str">
        <f>IF(Sheet1[[#This Row],[Actual Days]]&gt;=1,"Not Met","Met")</f>
        <v>Met</v>
      </c>
      <c r="L489" t="str">
        <f>TEXT(Sheet1[[#This Row],[Open Date]],"mmm")</f>
        <v>May</v>
      </c>
    </row>
    <row r="490" spans="1:12" x14ac:dyDescent="0.3">
      <c r="A490" t="s">
        <v>744</v>
      </c>
      <c r="B490" t="s">
        <v>30</v>
      </c>
      <c r="C490" t="s">
        <v>161</v>
      </c>
      <c r="D490" t="s">
        <v>38</v>
      </c>
      <c r="E490" t="s">
        <v>280</v>
      </c>
      <c r="F490" t="s">
        <v>26</v>
      </c>
      <c r="G490" t="s">
        <v>49</v>
      </c>
      <c r="H490" s="1">
        <v>45313</v>
      </c>
      <c r="I490" s="1">
        <v>45313</v>
      </c>
      <c r="J490">
        <f>Sheet1[[#This Row],[Close Date]]-Sheet1[[#This Row],[Open Date]]</f>
        <v>0</v>
      </c>
      <c r="K490" t="str">
        <f>IF(Sheet1[[#This Row],[Actual Days]]&gt;=1,"Not Met","Met")</f>
        <v>Met</v>
      </c>
      <c r="L490" t="str">
        <f>TEXT(Sheet1[[#This Row],[Open Date]],"mmm")</f>
        <v>Jan</v>
      </c>
    </row>
    <row r="491" spans="1:12" x14ac:dyDescent="0.3">
      <c r="A491" t="s">
        <v>745</v>
      </c>
      <c r="B491" t="s">
        <v>30</v>
      </c>
      <c r="C491" t="s">
        <v>31</v>
      </c>
      <c r="D491" t="s">
        <v>73</v>
      </c>
      <c r="E491" t="s">
        <v>288</v>
      </c>
      <c r="F491" t="s">
        <v>26</v>
      </c>
      <c r="G491" t="s">
        <v>27</v>
      </c>
      <c r="H491" s="1">
        <v>45432</v>
      </c>
      <c r="I491" s="1">
        <v>45432</v>
      </c>
      <c r="J491">
        <f>Sheet1[[#This Row],[Close Date]]-Sheet1[[#This Row],[Open Date]]</f>
        <v>0</v>
      </c>
      <c r="K491" t="str">
        <f>IF(Sheet1[[#This Row],[Actual Days]]&gt;=1,"Not Met","Met")</f>
        <v>Met</v>
      </c>
      <c r="L491" t="str">
        <f>TEXT(Sheet1[[#This Row],[Open Date]],"mmm")</f>
        <v>May</v>
      </c>
    </row>
    <row r="492" spans="1:12" x14ac:dyDescent="0.3">
      <c r="A492" t="s">
        <v>746</v>
      </c>
      <c r="B492" t="s">
        <v>30</v>
      </c>
      <c r="C492" t="s">
        <v>161</v>
      </c>
      <c r="D492" t="s">
        <v>87</v>
      </c>
      <c r="E492" t="s">
        <v>290</v>
      </c>
      <c r="F492" t="s">
        <v>40</v>
      </c>
      <c r="G492" t="s">
        <v>59</v>
      </c>
      <c r="H492" s="1">
        <v>45296</v>
      </c>
      <c r="I492" s="1">
        <v>45296</v>
      </c>
      <c r="J492">
        <f>Sheet1[[#This Row],[Close Date]]-Sheet1[[#This Row],[Open Date]]</f>
        <v>0</v>
      </c>
      <c r="K492" t="str">
        <f>IF(Sheet1[[#This Row],[Actual Days]]&gt;=1,"Not Met","Met")</f>
        <v>Met</v>
      </c>
      <c r="L492" t="str">
        <f>TEXT(Sheet1[[#This Row],[Open Date]],"mmm")</f>
        <v>Jan</v>
      </c>
    </row>
    <row r="493" spans="1:12" x14ac:dyDescent="0.3">
      <c r="A493" t="s">
        <v>747</v>
      </c>
      <c r="B493" t="s">
        <v>30</v>
      </c>
      <c r="C493" t="s">
        <v>31</v>
      </c>
      <c r="D493" t="s">
        <v>94</v>
      </c>
      <c r="E493" t="s">
        <v>306</v>
      </c>
      <c r="F493" t="s">
        <v>26</v>
      </c>
      <c r="G493" t="s">
        <v>18</v>
      </c>
      <c r="H493" s="1">
        <v>45405</v>
      </c>
      <c r="I493" s="1">
        <v>45405</v>
      </c>
      <c r="J493">
        <f>Sheet1[[#This Row],[Close Date]]-Sheet1[[#This Row],[Open Date]]</f>
        <v>0</v>
      </c>
      <c r="K493" t="str">
        <f>IF(Sheet1[[#This Row],[Actual Days]]&gt;=1,"Not Met","Met")</f>
        <v>Met</v>
      </c>
      <c r="L493" t="str">
        <f>TEXT(Sheet1[[#This Row],[Open Date]],"mmm")</f>
        <v>Apr</v>
      </c>
    </row>
    <row r="494" spans="1:12" x14ac:dyDescent="0.3">
      <c r="A494" t="s">
        <v>748</v>
      </c>
      <c r="B494" t="s">
        <v>30</v>
      </c>
      <c r="C494" t="s">
        <v>31</v>
      </c>
      <c r="D494" t="s">
        <v>38</v>
      </c>
      <c r="E494" t="s">
        <v>310</v>
      </c>
      <c r="F494" t="s">
        <v>26</v>
      </c>
      <c r="G494" t="s">
        <v>49</v>
      </c>
      <c r="H494" s="1">
        <v>45414</v>
      </c>
      <c r="I494" s="1">
        <v>45414</v>
      </c>
      <c r="J494">
        <f>Sheet1[[#This Row],[Close Date]]-Sheet1[[#This Row],[Open Date]]</f>
        <v>0</v>
      </c>
      <c r="K494" t="str">
        <f>IF(Sheet1[[#This Row],[Actual Days]]&gt;=1,"Not Met","Met")</f>
        <v>Met</v>
      </c>
      <c r="L494" t="str">
        <f>TEXT(Sheet1[[#This Row],[Open Date]],"mmm")</f>
        <v>May</v>
      </c>
    </row>
    <row r="495" spans="1:12" x14ac:dyDescent="0.3">
      <c r="A495" t="s">
        <v>749</v>
      </c>
      <c r="B495" t="s">
        <v>30</v>
      </c>
      <c r="C495" t="s">
        <v>51</v>
      </c>
      <c r="D495" t="s">
        <v>73</v>
      </c>
      <c r="E495" t="s">
        <v>314</v>
      </c>
      <c r="F495" t="s">
        <v>17</v>
      </c>
      <c r="G495" t="s">
        <v>18</v>
      </c>
      <c r="H495" s="1">
        <v>45304</v>
      </c>
      <c r="I495" s="1">
        <v>45304</v>
      </c>
      <c r="J495">
        <f>Sheet1[[#This Row],[Close Date]]-Sheet1[[#This Row],[Open Date]]</f>
        <v>0</v>
      </c>
      <c r="K495" t="str">
        <f>IF(Sheet1[[#This Row],[Actual Days]]&gt;=1,"Not Met","Met")</f>
        <v>Met</v>
      </c>
      <c r="L495" t="str">
        <f>TEXT(Sheet1[[#This Row],[Open Date]],"mmm")</f>
        <v>Jan</v>
      </c>
    </row>
    <row r="496" spans="1:12" x14ac:dyDescent="0.3">
      <c r="A496" t="s">
        <v>750</v>
      </c>
      <c r="B496" t="s">
        <v>30</v>
      </c>
      <c r="C496" t="s">
        <v>161</v>
      </c>
      <c r="D496" t="s">
        <v>15</v>
      </c>
      <c r="E496" t="s">
        <v>320</v>
      </c>
      <c r="F496" t="s">
        <v>26</v>
      </c>
      <c r="G496" t="s">
        <v>34</v>
      </c>
      <c r="H496" s="1">
        <v>45302</v>
      </c>
      <c r="I496" s="1">
        <v>45302</v>
      </c>
      <c r="J496">
        <f>Sheet1[[#This Row],[Close Date]]-Sheet1[[#This Row],[Open Date]]</f>
        <v>0</v>
      </c>
      <c r="K496" t="str">
        <f>IF(Sheet1[[#This Row],[Actual Days]]&gt;=1,"Not Met","Met")</f>
        <v>Met</v>
      </c>
      <c r="L496" t="str">
        <f>TEXT(Sheet1[[#This Row],[Open Date]],"mmm")</f>
        <v>Jan</v>
      </c>
    </row>
    <row r="497" spans="1:12" x14ac:dyDescent="0.3">
      <c r="A497" t="s">
        <v>751</v>
      </c>
      <c r="B497" t="s">
        <v>30</v>
      </c>
      <c r="C497" t="s">
        <v>161</v>
      </c>
      <c r="D497" t="s">
        <v>87</v>
      </c>
      <c r="E497" t="s">
        <v>346</v>
      </c>
      <c r="F497" t="s">
        <v>17</v>
      </c>
      <c r="G497" t="s">
        <v>18</v>
      </c>
      <c r="H497" s="1">
        <v>45393</v>
      </c>
      <c r="I497" s="1">
        <v>45393</v>
      </c>
      <c r="J497">
        <f>Sheet1[[#This Row],[Close Date]]-Sheet1[[#This Row],[Open Date]]</f>
        <v>0</v>
      </c>
      <c r="K497" t="str">
        <f>IF(Sheet1[[#This Row],[Actual Days]]&gt;=1,"Not Met","Met")</f>
        <v>Met</v>
      </c>
      <c r="L497" t="str">
        <f>TEXT(Sheet1[[#This Row],[Open Date]],"mmm")</f>
        <v>Apr</v>
      </c>
    </row>
    <row r="498" spans="1:12" x14ac:dyDescent="0.3">
      <c r="A498" t="s">
        <v>752</v>
      </c>
      <c r="B498" t="s">
        <v>30</v>
      </c>
      <c r="C498" t="s">
        <v>51</v>
      </c>
      <c r="D498" t="s">
        <v>32</v>
      </c>
      <c r="E498" t="s">
        <v>378</v>
      </c>
      <c r="F498" t="s">
        <v>17</v>
      </c>
      <c r="G498" t="s">
        <v>18</v>
      </c>
      <c r="H498" s="1">
        <v>45362</v>
      </c>
      <c r="I498" s="1">
        <v>45362</v>
      </c>
      <c r="J498">
        <f>Sheet1[[#This Row],[Close Date]]-Sheet1[[#This Row],[Open Date]]</f>
        <v>0</v>
      </c>
      <c r="K498" t="str">
        <f>IF(Sheet1[[#This Row],[Actual Days]]&gt;=1,"Not Met","Met")</f>
        <v>Met</v>
      </c>
      <c r="L498" t="str">
        <f>TEXT(Sheet1[[#This Row],[Open Date]],"mmm")</f>
        <v>Mar</v>
      </c>
    </row>
    <row r="499" spans="1:12" x14ac:dyDescent="0.3">
      <c r="A499" t="s">
        <v>753</v>
      </c>
      <c r="B499" t="s">
        <v>30</v>
      </c>
      <c r="C499" t="s">
        <v>51</v>
      </c>
      <c r="D499" t="s">
        <v>15</v>
      </c>
      <c r="E499" t="s">
        <v>382</v>
      </c>
      <c r="F499" t="s">
        <v>40</v>
      </c>
      <c r="G499" t="s">
        <v>18</v>
      </c>
      <c r="H499" s="1">
        <v>45296</v>
      </c>
      <c r="I499" s="1">
        <v>45296</v>
      </c>
      <c r="J499">
        <f>Sheet1[[#This Row],[Close Date]]-Sheet1[[#This Row],[Open Date]]</f>
        <v>0</v>
      </c>
      <c r="K499" t="str">
        <f>IF(Sheet1[[#This Row],[Actual Days]]&gt;=1,"Not Met","Met")</f>
        <v>Met</v>
      </c>
      <c r="L499" t="str">
        <f>TEXT(Sheet1[[#This Row],[Open Date]],"mmm")</f>
        <v>Jan</v>
      </c>
    </row>
    <row r="500" spans="1:12" x14ac:dyDescent="0.3">
      <c r="A500" t="s">
        <v>754</v>
      </c>
      <c r="B500" t="s">
        <v>30</v>
      </c>
      <c r="C500" t="s">
        <v>51</v>
      </c>
      <c r="D500" t="s">
        <v>38</v>
      </c>
      <c r="E500" t="s">
        <v>390</v>
      </c>
      <c r="F500" t="s">
        <v>17</v>
      </c>
      <c r="G500" t="s">
        <v>59</v>
      </c>
      <c r="H500" s="1">
        <v>45381</v>
      </c>
      <c r="I500" s="1">
        <v>45381</v>
      </c>
      <c r="J500">
        <f>Sheet1[[#This Row],[Close Date]]-Sheet1[[#This Row],[Open Date]]</f>
        <v>0</v>
      </c>
      <c r="K500" t="str">
        <f>IF(Sheet1[[#This Row],[Actual Days]]&gt;=1,"Not Met","Met")</f>
        <v>Met</v>
      </c>
      <c r="L500" t="str">
        <f>TEXT(Sheet1[[#This Row],[Open Date]],"mmm")</f>
        <v>Mar</v>
      </c>
    </row>
    <row r="501" spans="1:12" x14ac:dyDescent="0.3">
      <c r="A501" t="s">
        <v>755</v>
      </c>
      <c r="B501" t="s">
        <v>30</v>
      </c>
      <c r="C501" t="s">
        <v>31</v>
      </c>
      <c r="D501" t="s">
        <v>38</v>
      </c>
      <c r="E501" t="s">
        <v>414</v>
      </c>
      <c r="F501" t="s">
        <v>40</v>
      </c>
      <c r="G501" t="s">
        <v>18</v>
      </c>
      <c r="H501" s="1">
        <v>45402</v>
      </c>
      <c r="I501" s="1">
        <v>45402</v>
      </c>
      <c r="J501">
        <f>Sheet1[[#This Row],[Close Date]]-Sheet1[[#This Row],[Open Date]]</f>
        <v>0</v>
      </c>
      <c r="K501" t="str">
        <f>IF(Sheet1[[#This Row],[Actual Days]]&gt;=1,"Not Met","Met")</f>
        <v>Met</v>
      </c>
      <c r="L501" t="str">
        <f>TEXT(Sheet1[[#This Row],[Open Date]],"mmm")</f>
        <v>Apr</v>
      </c>
    </row>
    <row r="502" spans="1:12" x14ac:dyDescent="0.3">
      <c r="A502" t="s">
        <v>756</v>
      </c>
      <c r="B502" t="s">
        <v>30</v>
      </c>
      <c r="C502" t="s">
        <v>31</v>
      </c>
      <c r="D502" t="s">
        <v>24</v>
      </c>
      <c r="E502" t="s">
        <v>416</v>
      </c>
      <c r="F502" t="s">
        <v>40</v>
      </c>
      <c r="G502" t="s">
        <v>27</v>
      </c>
      <c r="H502" s="1">
        <v>45431</v>
      </c>
      <c r="I502" s="1">
        <v>45431</v>
      </c>
      <c r="J502">
        <f>Sheet1[[#This Row],[Close Date]]-Sheet1[[#This Row],[Open Date]]</f>
        <v>0</v>
      </c>
      <c r="K502" t="str">
        <f>IF(Sheet1[[#This Row],[Actual Days]]&gt;=1,"Not Met","Met")</f>
        <v>Met</v>
      </c>
      <c r="L502" t="str">
        <f>TEXT(Sheet1[[#This Row],[Open Date]],"mmm")</f>
        <v>May</v>
      </c>
    </row>
    <row r="503" spans="1:12" x14ac:dyDescent="0.3">
      <c r="A503" t="s">
        <v>757</v>
      </c>
      <c r="B503" t="s">
        <v>30</v>
      </c>
      <c r="C503" t="s">
        <v>51</v>
      </c>
      <c r="D503" t="s">
        <v>87</v>
      </c>
      <c r="E503" t="s">
        <v>418</v>
      </c>
      <c r="F503" t="s">
        <v>26</v>
      </c>
      <c r="G503" t="s">
        <v>49</v>
      </c>
      <c r="H503" s="1">
        <v>45336</v>
      </c>
      <c r="I503" s="1">
        <v>45336</v>
      </c>
      <c r="J503">
        <f>Sheet1[[#This Row],[Close Date]]-Sheet1[[#This Row],[Open Date]]</f>
        <v>0</v>
      </c>
      <c r="K503" t="str">
        <f>IF(Sheet1[[#This Row],[Actual Days]]&gt;=1,"Not Met","Met")</f>
        <v>Met</v>
      </c>
      <c r="L503" t="str">
        <f>TEXT(Sheet1[[#This Row],[Open Date]],"mmm")</f>
        <v>Feb</v>
      </c>
    </row>
    <row r="504" spans="1:12" x14ac:dyDescent="0.3">
      <c r="A504" t="s">
        <v>758</v>
      </c>
      <c r="B504" t="s">
        <v>30</v>
      </c>
      <c r="C504" t="s">
        <v>161</v>
      </c>
      <c r="D504" t="s">
        <v>94</v>
      </c>
      <c r="E504" t="s">
        <v>422</v>
      </c>
      <c r="F504" t="s">
        <v>17</v>
      </c>
      <c r="G504" t="s">
        <v>18</v>
      </c>
      <c r="H504" s="1">
        <v>45445</v>
      </c>
      <c r="I504" s="1">
        <v>45445</v>
      </c>
      <c r="J504">
        <f>Sheet1[[#This Row],[Close Date]]-Sheet1[[#This Row],[Open Date]]</f>
        <v>0</v>
      </c>
      <c r="K504" t="str">
        <f>IF(Sheet1[[#This Row],[Actual Days]]&gt;=1,"Not Met","Met")</f>
        <v>Met</v>
      </c>
      <c r="L504" t="str">
        <f>TEXT(Sheet1[[#This Row],[Open Date]],"mmm")</f>
        <v>Jun</v>
      </c>
    </row>
    <row r="505" spans="1:12" x14ac:dyDescent="0.3">
      <c r="A505" t="s">
        <v>759</v>
      </c>
      <c r="B505" t="s">
        <v>30</v>
      </c>
      <c r="C505" t="s">
        <v>51</v>
      </c>
      <c r="D505" t="s">
        <v>73</v>
      </c>
      <c r="E505" t="s">
        <v>436</v>
      </c>
      <c r="F505" t="s">
        <v>40</v>
      </c>
      <c r="G505" t="s">
        <v>34</v>
      </c>
      <c r="H505" s="1">
        <v>45450</v>
      </c>
      <c r="I505" s="1">
        <v>45450</v>
      </c>
      <c r="J505">
        <f>Sheet1[[#This Row],[Close Date]]-Sheet1[[#This Row],[Open Date]]</f>
        <v>0</v>
      </c>
      <c r="K505" t="str">
        <f>IF(Sheet1[[#This Row],[Actual Days]]&gt;=1,"Not Met","Met")</f>
        <v>Met</v>
      </c>
      <c r="L505" t="str">
        <f>TEXT(Sheet1[[#This Row],[Open Date]],"mmm")</f>
        <v>Jun</v>
      </c>
    </row>
    <row r="506" spans="1:12" x14ac:dyDescent="0.3">
      <c r="A506" t="s">
        <v>760</v>
      </c>
      <c r="B506" t="s">
        <v>30</v>
      </c>
      <c r="C506" t="s">
        <v>31</v>
      </c>
      <c r="D506" t="s">
        <v>38</v>
      </c>
      <c r="E506" t="s">
        <v>438</v>
      </c>
      <c r="F506" t="s">
        <v>26</v>
      </c>
      <c r="G506" t="s">
        <v>49</v>
      </c>
      <c r="H506" s="1">
        <v>45292</v>
      </c>
      <c r="I506" s="1">
        <v>45292</v>
      </c>
      <c r="J506">
        <f>Sheet1[[#This Row],[Close Date]]-Sheet1[[#This Row],[Open Date]]</f>
        <v>0</v>
      </c>
      <c r="K506" t="str">
        <f>IF(Sheet1[[#This Row],[Actual Days]]&gt;=1,"Not Met","Met")</f>
        <v>Met</v>
      </c>
      <c r="L506" t="str">
        <f>TEXT(Sheet1[[#This Row],[Open Date]],"mmm")</f>
        <v>Jan</v>
      </c>
    </row>
    <row r="507" spans="1:12" x14ac:dyDescent="0.3">
      <c r="A507" t="s">
        <v>761</v>
      </c>
      <c r="B507" t="s">
        <v>30</v>
      </c>
      <c r="C507" t="s">
        <v>31</v>
      </c>
      <c r="D507" t="s">
        <v>38</v>
      </c>
      <c r="E507" t="s">
        <v>442</v>
      </c>
      <c r="F507" t="s">
        <v>17</v>
      </c>
      <c r="G507" t="s">
        <v>45</v>
      </c>
      <c r="H507" s="1">
        <v>45310</v>
      </c>
      <c r="I507" s="1">
        <v>45310</v>
      </c>
      <c r="J507">
        <f>Sheet1[[#This Row],[Close Date]]-Sheet1[[#This Row],[Open Date]]</f>
        <v>0</v>
      </c>
      <c r="K507" t="str">
        <f>IF(Sheet1[[#This Row],[Actual Days]]&gt;=1,"Not Met","Met")</f>
        <v>Met</v>
      </c>
      <c r="L507" t="str">
        <f>TEXT(Sheet1[[#This Row],[Open Date]],"mmm")</f>
        <v>Jan</v>
      </c>
    </row>
    <row r="508" spans="1:12" x14ac:dyDescent="0.3">
      <c r="A508" t="s">
        <v>762</v>
      </c>
      <c r="B508" t="s">
        <v>30</v>
      </c>
      <c r="C508" t="s">
        <v>31</v>
      </c>
      <c r="D508" t="s">
        <v>32</v>
      </c>
      <c r="E508" t="s">
        <v>33</v>
      </c>
      <c r="F508" t="s">
        <v>26</v>
      </c>
      <c r="G508" t="s">
        <v>34</v>
      </c>
      <c r="H508" s="1">
        <v>45331</v>
      </c>
      <c r="I508" s="1">
        <v>45331</v>
      </c>
      <c r="J508">
        <f>Sheet1[[#This Row],[Close Date]]-Sheet1[[#This Row],[Open Date]]</f>
        <v>0</v>
      </c>
      <c r="K508" t="str">
        <f>IF(Sheet1[[#This Row],[Actual Days]]&gt;=1,"Not Met","Met")</f>
        <v>Met</v>
      </c>
      <c r="L508" t="str">
        <f>TEXT(Sheet1[[#This Row],[Open Date]],"mmm")</f>
        <v>Feb</v>
      </c>
    </row>
    <row r="509" spans="1:12" x14ac:dyDescent="0.3">
      <c r="A509" t="s">
        <v>763</v>
      </c>
      <c r="B509" t="s">
        <v>30</v>
      </c>
      <c r="C509" t="s">
        <v>51</v>
      </c>
      <c r="D509" t="s">
        <v>15</v>
      </c>
      <c r="E509" t="s">
        <v>52</v>
      </c>
      <c r="F509" t="s">
        <v>40</v>
      </c>
      <c r="G509" t="s">
        <v>49</v>
      </c>
      <c r="H509" s="1">
        <v>45314</v>
      </c>
      <c r="I509" s="1">
        <v>45315</v>
      </c>
      <c r="J509">
        <f>Sheet1[[#This Row],[Close Date]]-Sheet1[[#This Row],[Open Date]]</f>
        <v>1</v>
      </c>
      <c r="K509" t="str">
        <f>IF(Sheet1[[#This Row],[Actual Days]]&gt;=1,"Not Met","Met")</f>
        <v>Not Met</v>
      </c>
      <c r="L509" t="str">
        <f>TEXT(Sheet1[[#This Row],[Open Date]],"mmm")</f>
        <v>Jan</v>
      </c>
    </row>
    <row r="510" spans="1:12" x14ac:dyDescent="0.3">
      <c r="A510" t="s">
        <v>764</v>
      </c>
      <c r="B510" t="s">
        <v>30</v>
      </c>
      <c r="C510" t="s">
        <v>51</v>
      </c>
      <c r="D510" t="s">
        <v>32</v>
      </c>
      <c r="E510" t="s">
        <v>55</v>
      </c>
      <c r="F510" t="s">
        <v>17</v>
      </c>
      <c r="G510" t="s">
        <v>34</v>
      </c>
      <c r="H510" s="1">
        <v>45400</v>
      </c>
      <c r="I510" s="1">
        <v>45400</v>
      </c>
      <c r="J510">
        <f>Sheet1[[#This Row],[Close Date]]-Sheet1[[#This Row],[Open Date]]</f>
        <v>0</v>
      </c>
      <c r="K510" t="str">
        <f>IF(Sheet1[[#This Row],[Actual Days]]&gt;=1,"Not Met","Met")</f>
        <v>Met</v>
      </c>
      <c r="L510" t="str">
        <f>TEXT(Sheet1[[#This Row],[Open Date]],"mmm")</f>
        <v>Apr</v>
      </c>
    </row>
    <row r="511" spans="1:12" x14ac:dyDescent="0.3">
      <c r="A511" t="s">
        <v>765</v>
      </c>
      <c r="B511" t="s">
        <v>30</v>
      </c>
      <c r="C511" t="s">
        <v>51</v>
      </c>
      <c r="D511" t="s">
        <v>38</v>
      </c>
      <c r="E511" t="s">
        <v>92</v>
      </c>
      <c r="F511" t="s">
        <v>40</v>
      </c>
      <c r="G511" t="s">
        <v>18</v>
      </c>
      <c r="H511" s="1">
        <v>45329</v>
      </c>
      <c r="I511" s="1">
        <v>45329</v>
      </c>
      <c r="J511">
        <f>Sheet1[[#This Row],[Close Date]]-Sheet1[[#This Row],[Open Date]]</f>
        <v>0</v>
      </c>
      <c r="K511" t="str">
        <f>IF(Sheet1[[#This Row],[Actual Days]]&gt;=1,"Not Met","Met")</f>
        <v>Met</v>
      </c>
      <c r="L511" t="str">
        <f>TEXT(Sheet1[[#This Row],[Open Date]],"mmm")</f>
        <v>Feb</v>
      </c>
    </row>
    <row r="512" spans="1:12" x14ac:dyDescent="0.3">
      <c r="A512" t="s">
        <v>766</v>
      </c>
      <c r="B512" t="s">
        <v>30</v>
      </c>
      <c r="C512" t="s">
        <v>51</v>
      </c>
      <c r="D512" t="s">
        <v>38</v>
      </c>
      <c r="E512" t="s">
        <v>116</v>
      </c>
      <c r="F512" t="s">
        <v>40</v>
      </c>
      <c r="G512" t="s">
        <v>18</v>
      </c>
      <c r="H512" s="1">
        <v>45430</v>
      </c>
      <c r="I512" s="1">
        <v>45430</v>
      </c>
      <c r="J512">
        <f>Sheet1[[#This Row],[Close Date]]-Sheet1[[#This Row],[Open Date]]</f>
        <v>0</v>
      </c>
      <c r="K512" t="str">
        <f>IF(Sheet1[[#This Row],[Actual Days]]&gt;=1,"Not Met","Met")</f>
        <v>Met</v>
      </c>
      <c r="L512" t="str">
        <f>TEXT(Sheet1[[#This Row],[Open Date]],"mmm")</f>
        <v>May</v>
      </c>
    </row>
    <row r="513" spans="1:12" x14ac:dyDescent="0.3">
      <c r="A513" t="s">
        <v>767</v>
      </c>
      <c r="B513" t="s">
        <v>30</v>
      </c>
      <c r="C513" t="s">
        <v>31</v>
      </c>
      <c r="D513" t="s">
        <v>38</v>
      </c>
      <c r="E513" t="s">
        <v>144</v>
      </c>
      <c r="F513" t="s">
        <v>40</v>
      </c>
      <c r="G513" t="s">
        <v>45</v>
      </c>
      <c r="H513" s="1">
        <v>45321</v>
      </c>
      <c r="I513" s="1">
        <v>45321</v>
      </c>
      <c r="J513">
        <f>Sheet1[[#This Row],[Close Date]]-Sheet1[[#This Row],[Open Date]]</f>
        <v>0</v>
      </c>
      <c r="K513" t="str">
        <f>IF(Sheet1[[#This Row],[Actual Days]]&gt;=1,"Not Met","Met")</f>
        <v>Met</v>
      </c>
      <c r="L513" t="str">
        <f>TEXT(Sheet1[[#This Row],[Open Date]],"mmm")</f>
        <v>Jan</v>
      </c>
    </row>
    <row r="514" spans="1:12" x14ac:dyDescent="0.3">
      <c r="A514" t="s">
        <v>768</v>
      </c>
      <c r="B514" t="s">
        <v>30</v>
      </c>
      <c r="C514" t="s">
        <v>31</v>
      </c>
      <c r="D514" t="s">
        <v>87</v>
      </c>
      <c r="E514" t="s">
        <v>146</v>
      </c>
      <c r="F514" t="s">
        <v>40</v>
      </c>
      <c r="G514" t="s">
        <v>27</v>
      </c>
      <c r="H514" s="1">
        <v>45418</v>
      </c>
      <c r="I514" s="1">
        <v>45418</v>
      </c>
      <c r="J514">
        <f>Sheet1[[#This Row],[Close Date]]-Sheet1[[#This Row],[Open Date]]</f>
        <v>0</v>
      </c>
      <c r="K514" t="str">
        <f>IF(Sheet1[[#This Row],[Actual Days]]&gt;=1,"Not Met","Met")</f>
        <v>Met</v>
      </c>
      <c r="L514" t="str">
        <f>TEXT(Sheet1[[#This Row],[Open Date]],"mmm")</f>
        <v>May</v>
      </c>
    </row>
    <row r="515" spans="1:12" x14ac:dyDescent="0.3">
      <c r="A515" t="s">
        <v>769</v>
      </c>
      <c r="B515" t="s">
        <v>30</v>
      </c>
      <c r="C515" t="s">
        <v>161</v>
      </c>
      <c r="D515" t="s">
        <v>24</v>
      </c>
      <c r="E515" t="s">
        <v>162</v>
      </c>
      <c r="F515" t="s">
        <v>17</v>
      </c>
      <c r="G515" t="s">
        <v>45</v>
      </c>
      <c r="H515" s="1">
        <v>45423</v>
      </c>
      <c r="I515" s="1">
        <v>45423</v>
      </c>
      <c r="J515">
        <f>Sheet1[[#This Row],[Close Date]]-Sheet1[[#This Row],[Open Date]]</f>
        <v>0</v>
      </c>
      <c r="K515" t="str">
        <f>IF(Sheet1[[#This Row],[Actual Days]]&gt;=1,"Not Met","Met")</f>
        <v>Met</v>
      </c>
      <c r="L515" t="str">
        <f>TEXT(Sheet1[[#This Row],[Open Date]],"mmm")</f>
        <v>May</v>
      </c>
    </row>
    <row r="516" spans="1:12" x14ac:dyDescent="0.3">
      <c r="A516" t="s">
        <v>770</v>
      </c>
      <c r="B516" t="s">
        <v>30</v>
      </c>
      <c r="C516" t="s">
        <v>51</v>
      </c>
      <c r="D516" t="s">
        <v>38</v>
      </c>
      <c r="E516" t="s">
        <v>180</v>
      </c>
      <c r="F516" t="s">
        <v>40</v>
      </c>
      <c r="G516" t="s">
        <v>34</v>
      </c>
      <c r="H516" s="1">
        <v>45430</v>
      </c>
      <c r="I516" s="1">
        <v>45430</v>
      </c>
      <c r="J516">
        <f>Sheet1[[#This Row],[Close Date]]-Sheet1[[#This Row],[Open Date]]</f>
        <v>0</v>
      </c>
      <c r="K516" t="str">
        <f>IF(Sheet1[[#This Row],[Actual Days]]&gt;=1,"Not Met","Met")</f>
        <v>Met</v>
      </c>
      <c r="L516" t="str">
        <f>TEXT(Sheet1[[#This Row],[Open Date]],"mmm")</f>
        <v>May</v>
      </c>
    </row>
    <row r="517" spans="1:12" x14ac:dyDescent="0.3">
      <c r="A517" t="s">
        <v>771</v>
      </c>
      <c r="B517" t="s">
        <v>30</v>
      </c>
      <c r="C517" t="s">
        <v>51</v>
      </c>
      <c r="D517" t="s">
        <v>38</v>
      </c>
      <c r="E517" t="s">
        <v>186</v>
      </c>
      <c r="F517" t="s">
        <v>40</v>
      </c>
      <c r="G517" t="s">
        <v>18</v>
      </c>
      <c r="H517" s="1">
        <v>45421</v>
      </c>
      <c r="I517" s="1">
        <v>45421</v>
      </c>
      <c r="J517">
        <f>Sheet1[[#This Row],[Close Date]]-Sheet1[[#This Row],[Open Date]]</f>
        <v>0</v>
      </c>
      <c r="K517" t="str">
        <f>IF(Sheet1[[#This Row],[Actual Days]]&gt;=1,"Not Met","Met")</f>
        <v>Met</v>
      </c>
      <c r="L517" t="str">
        <f>TEXT(Sheet1[[#This Row],[Open Date]],"mmm")</f>
        <v>May</v>
      </c>
    </row>
    <row r="518" spans="1:12" x14ac:dyDescent="0.3">
      <c r="A518" t="s">
        <v>772</v>
      </c>
      <c r="B518" t="s">
        <v>30</v>
      </c>
      <c r="C518" t="s">
        <v>161</v>
      </c>
      <c r="D518" t="s">
        <v>32</v>
      </c>
      <c r="E518" t="s">
        <v>188</v>
      </c>
      <c r="F518" t="s">
        <v>40</v>
      </c>
      <c r="G518" t="s">
        <v>18</v>
      </c>
      <c r="H518" s="1">
        <v>45309</v>
      </c>
      <c r="I518" s="1">
        <v>45309</v>
      </c>
      <c r="J518">
        <f>Sheet1[[#This Row],[Close Date]]-Sheet1[[#This Row],[Open Date]]</f>
        <v>0</v>
      </c>
      <c r="K518" t="str">
        <f>IF(Sheet1[[#This Row],[Actual Days]]&gt;=1,"Not Met","Met")</f>
        <v>Met</v>
      </c>
      <c r="L518" t="str">
        <f>TEXT(Sheet1[[#This Row],[Open Date]],"mmm")</f>
        <v>Jan</v>
      </c>
    </row>
    <row r="519" spans="1:12" x14ac:dyDescent="0.3">
      <c r="A519" t="s">
        <v>773</v>
      </c>
      <c r="B519" t="s">
        <v>30</v>
      </c>
      <c r="C519" t="s">
        <v>31</v>
      </c>
      <c r="D519" t="s">
        <v>24</v>
      </c>
      <c r="E519" t="s">
        <v>192</v>
      </c>
      <c r="F519" t="s">
        <v>26</v>
      </c>
      <c r="G519" t="s">
        <v>27</v>
      </c>
      <c r="H519" s="1">
        <v>45406</v>
      </c>
      <c r="I519" s="1">
        <v>45406</v>
      </c>
      <c r="J519">
        <f>Sheet1[[#This Row],[Close Date]]-Sheet1[[#This Row],[Open Date]]</f>
        <v>0</v>
      </c>
      <c r="K519" t="str">
        <f>IF(Sheet1[[#This Row],[Actual Days]]&gt;=1,"Not Met","Met")</f>
        <v>Met</v>
      </c>
      <c r="L519" t="str">
        <f>TEXT(Sheet1[[#This Row],[Open Date]],"mmm")</f>
        <v>Apr</v>
      </c>
    </row>
    <row r="520" spans="1:12" x14ac:dyDescent="0.3">
      <c r="A520" t="s">
        <v>774</v>
      </c>
      <c r="B520" t="s">
        <v>30</v>
      </c>
      <c r="C520" t="s">
        <v>161</v>
      </c>
      <c r="D520" t="s">
        <v>15</v>
      </c>
      <c r="E520" t="s">
        <v>196</v>
      </c>
      <c r="F520" t="s">
        <v>17</v>
      </c>
      <c r="G520" t="s">
        <v>45</v>
      </c>
      <c r="H520" s="1">
        <v>45408</v>
      </c>
      <c r="I520" s="1">
        <v>45408</v>
      </c>
      <c r="J520">
        <f>Sheet1[[#This Row],[Close Date]]-Sheet1[[#This Row],[Open Date]]</f>
        <v>0</v>
      </c>
      <c r="K520" t="str">
        <f>IF(Sheet1[[#This Row],[Actual Days]]&gt;=1,"Not Met","Met")</f>
        <v>Met</v>
      </c>
      <c r="L520" t="str">
        <f>TEXT(Sheet1[[#This Row],[Open Date]],"mmm")</f>
        <v>Apr</v>
      </c>
    </row>
    <row r="521" spans="1:12" x14ac:dyDescent="0.3">
      <c r="A521" t="s">
        <v>775</v>
      </c>
      <c r="B521" t="s">
        <v>30</v>
      </c>
      <c r="C521" t="s">
        <v>161</v>
      </c>
      <c r="D521" t="s">
        <v>24</v>
      </c>
      <c r="E521" t="s">
        <v>200</v>
      </c>
      <c r="F521" t="s">
        <v>17</v>
      </c>
      <c r="G521" t="s">
        <v>34</v>
      </c>
      <c r="H521" s="1">
        <v>45397</v>
      </c>
      <c r="I521" s="1">
        <v>45397</v>
      </c>
      <c r="J521">
        <f>Sheet1[[#This Row],[Close Date]]-Sheet1[[#This Row],[Open Date]]</f>
        <v>0</v>
      </c>
      <c r="K521" t="str">
        <f>IF(Sheet1[[#This Row],[Actual Days]]&gt;=1,"Not Met","Met")</f>
        <v>Met</v>
      </c>
      <c r="L521" t="str">
        <f>TEXT(Sheet1[[#This Row],[Open Date]],"mmm")</f>
        <v>Apr</v>
      </c>
    </row>
    <row r="522" spans="1:12" x14ac:dyDescent="0.3">
      <c r="A522" t="s">
        <v>776</v>
      </c>
      <c r="B522" t="s">
        <v>30</v>
      </c>
      <c r="C522" t="s">
        <v>31</v>
      </c>
      <c r="D522" t="s">
        <v>94</v>
      </c>
      <c r="E522" t="s">
        <v>214</v>
      </c>
      <c r="F522" t="s">
        <v>17</v>
      </c>
      <c r="G522" t="s">
        <v>34</v>
      </c>
      <c r="H522" s="1">
        <v>45416</v>
      </c>
      <c r="I522" s="1">
        <v>45416</v>
      </c>
      <c r="J522">
        <f>Sheet1[[#This Row],[Close Date]]-Sheet1[[#This Row],[Open Date]]</f>
        <v>0</v>
      </c>
      <c r="K522" t="str">
        <f>IF(Sheet1[[#This Row],[Actual Days]]&gt;=1,"Not Met","Met")</f>
        <v>Met</v>
      </c>
      <c r="L522" t="str">
        <f>TEXT(Sheet1[[#This Row],[Open Date]],"mmm")</f>
        <v>May</v>
      </c>
    </row>
    <row r="523" spans="1:12" x14ac:dyDescent="0.3">
      <c r="A523" t="s">
        <v>777</v>
      </c>
      <c r="B523" t="s">
        <v>30</v>
      </c>
      <c r="C523" t="s">
        <v>161</v>
      </c>
      <c r="D523" t="s">
        <v>73</v>
      </c>
      <c r="E523" t="s">
        <v>218</v>
      </c>
      <c r="F523" t="s">
        <v>17</v>
      </c>
      <c r="G523" t="s">
        <v>45</v>
      </c>
      <c r="H523" s="1">
        <v>45356</v>
      </c>
      <c r="I523" s="1">
        <v>45356</v>
      </c>
      <c r="J523">
        <f>Sheet1[[#This Row],[Close Date]]-Sheet1[[#This Row],[Open Date]]</f>
        <v>0</v>
      </c>
      <c r="K523" t="str">
        <f>IF(Sheet1[[#This Row],[Actual Days]]&gt;=1,"Not Met","Met")</f>
        <v>Met</v>
      </c>
      <c r="L523" t="str">
        <f>TEXT(Sheet1[[#This Row],[Open Date]],"mmm")</f>
        <v>Mar</v>
      </c>
    </row>
    <row r="524" spans="1:12" x14ac:dyDescent="0.3">
      <c r="A524" t="s">
        <v>778</v>
      </c>
      <c r="B524" t="s">
        <v>30</v>
      </c>
      <c r="C524" t="s">
        <v>51</v>
      </c>
      <c r="D524" t="s">
        <v>73</v>
      </c>
      <c r="E524" t="s">
        <v>226</v>
      </c>
      <c r="F524" t="s">
        <v>17</v>
      </c>
      <c r="G524" t="s">
        <v>34</v>
      </c>
      <c r="H524" s="1">
        <v>45377</v>
      </c>
      <c r="I524" s="1">
        <v>45377</v>
      </c>
      <c r="J524">
        <f>Sheet1[[#This Row],[Close Date]]-Sheet1[[#This Row],[Open Date]]</f>
        <v>0</v>
      </c>
      <c r="K524" t="str">
        <f>IF(Sheet1[[#This Row],[Actual Days]]&gt;=1,"Not Met","Met")</f>
        <v>Met</v>
      </c>
      <c r="L524" t="str">
        <f>TEXT(Sheet1[[#This Row],[Open Date]],"mmm")</f>
        <v>Mar</v>
      </c>
    </row>
    <row r="525" spans="1:12" x14ac:dyDescent="0.3">
      <c r="A525" t="s">
        <v>779</v>
      </c>
      <c r="B525" t="s">
        <v>30</v>
      </c>
      <c r="C525" t="s">
        <v>161</v>
      </c>
      <c r="D525" t="s">
        <v>38</v>
      </c>
      <c r="E525" t="s">
        <v>230</v>
      </c>
      <c r="F525" t="s">
        <v>26</v>
      </c>
      <c r="G525" t="s">
        <v>27</v>
      </c>
      <c r="H525" s="1">
        <v>45409</v>
      </c>
      <c r="I525" s="1">
        <v>45409</v>
      </c>
      <c r="J525">
        <f>Sheet1[[#This Row],[Close Date]]-Sheet1[[#This Row],[Open Date]]</f>
        <v>0</v>
      </c>
      <c r="K525" t="str">
        <f>IF(Sheet1[[#This Row],[Actual Days]]&gt;=1,"Not Met","Met")</f>
        <v>Met</v>
      </c>
      <c r="L525" t="str">
        <f>TEXT(Sheet1[[#This Row],[Open Date]],"mmm")</f>
        <v>Apr</v>
      </c>
    </row>
    <row r="526" spans="1:12" x14ac:dyDescent="0.3">
      <c r="A526" t="s">
        <v>780</v>
      </c>
      <c r="B526" t="s">
        <v>30</v>
      </c>
      <c r="C526" t="s">
        <v>161</v>
      </c>
      <c r="D526" t="s">
        <v>38</v>
      </c>
      <c r="E526" t="s">
        <v>242</v>
      </c>
      <c r="F526" t="s">
        <v>40</v>
      </c>
      <c r="G526" t="s">
        <v>59</v>
      </c>
      <c r="H526" s="1">
        <v>45372</v>
      </c>
      <c r="I526" s="1">
        <v>45372</v>
      </c>
      <c r="J526">
        <f>Sheet1[[#This Row],[Close Date]]-Sheet1[[#This Row],[Open Date]]</f>
        <v>0</v>
      </c>
      <c r="K526" t="str">
        <f>IF(Sheet1[[#This Row],[Actual Days]]&gt;=1,"Not Met","Met")</f>
        <v>Met</v>
      </c>
      <c r="L526" t="str">
        <f>TEXT(Sheet1[[#This Row],[Open Date]],"mmm")</f>
        <v>Mar</v>
      </c>
    </row>
    <row r="527" spans="1:12" x14ac:dyDescent="0.3">
      <c r="A527" t="s">
        <v>781</v>
      </c>
      <c r="B527" t="s">
        <v>30</v>
      </c>
      <c r="C527" t="s">
        <v>31</v>
      </c>
      <c r="D527" t="s">
        <v>94</v>
      </c>
      <c r="E527" t="s">
        <v>252</v>
      </c>
      <c r="F527" t="s">
        <v>40</v>
      </c>
      <c r="G527" t="s">
        <v>18</v>
      </c>
      <c r="H527" s="1">
        <v>45356</v>
      </c>
      <c r="I527" s="1">
        <v>45356</v>
      </c>
      <c r="J527">
        <f>Sheet1[[#This Row],[Close Date]]-Sheet1[[#This Row],[Open Date]]</f>
        <v>0</v>
      </c>
      <c r="K527" t="str">
        <f>IF(Sheet1[[#This Row],[Actual Days]]&gt;=1,"Not Met","Met")</f>
        <v>Met</v>
      </c>
      <c r="L527" t="str">
        <f>TEXT(Sheet1[[#This Row],[Open Date]],"mmm")</f>
        <v>Mar</v>
      </c>
    </row>
    <row r="528" spans="1:12" x14ac:dyDescent="0.3">
      <c r="A528" t="s">
        <v>782</v>
      </c>
      <c r="B528" t="s">
        <v>30</v>
      </c>
      <c r="C528" t="s">
        <v>51</v>
      </c>
      <c r="D528" t="s">
        <v>94</v>
      </c>
      <c r="E528" t="s">
        <v>260</v>
      </c>
      <c r="F528" t="s">
        <v>40</v>
      </c>
      <c r="G528" t="s">
        <v>27</v>
      </c>
      <c r="H528" s="1">
        <v>45415</v>
      </c>
      <c r="I528" s="1">
        <v>45415</v>
      </c>
      <c r="J528">
        <f>Sheet1[[#This Row],[Close Date]]-Sheet1[[#This Row],[Open Date]]</f>
        <v>0</v>
      </c>
      <c r="K528" t="str">
        <f>IF(Sheet1[[#This Row],[Actual Days]]&gt;=1,"Not Met","Met")</f>
        <v>Met</v>
      </c>
      <c r="L528" t="str">
        <f>TEXT(Sheet1[[#This Row],[Open Date]],"mmm")</f>
        <v>May</v>
      </c>
    </row>
    <row r="529" spans="1:12" x14ac:dyDescent="0.3">
      <c r="A529" t="s">
        <v>783</v>
      </c>
      <c r="B529" t="s">
        <v>30</v>
      </c>
      <c r="C529" t="s">
        <v>51</v>
      </c>
      <c r="D529" t="s">
        <v>156</v>
      </c>
      <c r="E529" t="s">
        <v>266</v>
      </c>
      <c r="F529" t="s">
        <v>17</v>
      </c>
      <c r="G529" t="s">
        <v>45</v>
      </c>
      <c r="H529" s="1">
        <v>45412</v>
      </c>
      <c r="I529" s="1">
        <v>45412</v>
      </c>
      <c r="J529">
        <f>Sheet1[[#This Row],[Close Date]]-Sheet1[[#This Row],[Open Date]]</f>
        <v>0</v>
      </c>
      <c r="K529" t="str">
        <f>IF(Sheet1[[#This Row],[Actual Days]]&gt;=1,"Not Met","Met")</f>
        <v>Met</v>
      </c>
      <c r="L529" t="str">
        <f>TEXT(Sheet1[[#This Row],[Open Date]],"mmm")</f>
        <v>Apr</v>
      </c>
    </row>
    <row r="530" spans="1:12" x14ac:dyDescent="0.3">
      <c r="A530" t="s">
        <v>784</v>
      </c>
      <c r="B530" t="s">
        <v>30</v>
      </c>
      <c r="C530" t="s">
        <v>51</v>
      </c>
      <c r="D530" t="s">
        <v>38</v>
      </c>
      <c r="E530" t="s">
        <v>272</v>
      </c>
      <c r="F530" t="s">
        <v>40</v>
      </c>
      <c r="G530" t="s">
        <v>27</v>
      </c>
      <c r="H530" s="1">
        <v>45356</v>
      </c>
      <c r="I530" s="1">
        <v>45356</v>
      </c>
      <c r="J530">
        <f>Sheet1[[#This Row],[Close Date]]-Sheet1[[#This Row],[Open Date]]</f>
        <v>0</v>
      </c>
      <c r="K530" t="str">
        <f>IF(Sheet1[[#This Row],[Actual Days]]&gt;=1,"Not Met","Met")</f>
        <v>Met</v>
      </c>
      <c r="L530" t="str">
        <f>TEXT(Sheet1[[#This Row],[Open Date]],"mmm")</f>
        <v>Mar</v>
      </c>
    </row>
    <row r="531" spans="1:12" x14ac:dyDescent="0.3">
      <c r="A531" t="s">
        <v>785</v>
      </c>
      <c r="B531" t="s">
        <v>30</v>
      </c>
      <c r="C531" t="s">
        <v>31</v>
      </c>
      <c r="D531" t="s">
        <v>38</v>
      </c>
      <c r="E531" t="s">
        <v>274</v>
      </c>
      <c r="F531" t="s">
        <v>40</v>
      </c>
      <c r="G531" t="s">
        <v>34</v>
      </c>
      <c r="H531" s="1">
        <v>45430</v>
      </c>
      <c r="I531" s="1">
        <v>45430</v>
      </c>
      <c r="J531">
        <f>Sheet1[[#This Row],[Close Date]]-Sheet1[[#This Row],[Open Date]]</f>
        <v>0</v>
      </c>
      <c r="K531" t="str">
        <f>IF(Sheet1[[#This Row],[Actual Days]]&gt;=1,"Not Met","Met")</f>
        <v>Met</v>
      </c>
      <c r="L531" t="str">
        <f>TEXT(Sheet1[[#This Row],[Open Date]],"mmm")</f>
        <v>May</v>
      </c>
    </row>
    <row r="532" spans="1:12" x14ac:dyDescent="0.3">
      <c r="A532" t="s">
        <v>786</v>
      </c>
      <c r="B532" t="s">
        <v>30</v>
      </c>
      <c r="C532" t="s">
        <v>161</v>
      </c>
      <c r="D532" t="s">
        <v>38</v>
      </c>
      <c r="E532" t="s">
        <v>280</v>
      </c>
      <c r="F532" t="s">
        <v>26</v>
      </c>
      <c r="G532" t="s">
        <v>49</v>
      </c>
      <c r="H532" s="1">
        <v>45313</v>
      </c>
      <c r="I532" s="1">
        <v>45313</v>
      </c>
      <c r="J532">
        <f>Sheet1[[#This Row],[Close Date]]-Sheet1[[#This Row],[Open Date]]</f>
        <v>0</v>
      </c>
      <c r="K532" t="str">
        <f>IF(Sheet1[[#This Row],[Actual Days]]&gt;=1,"Not Met","Met")</f>
        <v>Met</v>
      </c>
      <c r="L532" t="str">
        <f>TEXT(Sheet1[[#This Row],[Open Date]],"mmm")</f>
        <v>Jan</v>
      </c>
    </row>
    <row r="533" spans="1:12" x14ac:dyDescent="0.3">
      <c r="A533" t="s">
        <v>787</v>
      </c>
      <c r="B533" t="s">
        <v>30</v>
      </c>
      <c r="C533" t="s">
        <v>31</v>
      </c>
      <c r="D533" t="s">
        <v>73</v>
      </c>
      <c r="E533" t="s">
        <v>288</v>
      </c>
      <c r="F533" t="s">
        <v>26</v>
      </c>
      <c r="G533" t="s">
        <v>27</v>
      </c>
      <c r="H533" s="1">
        <v>45432</v>
      </c>
      <c r="I533" s="1">
        <v>45432</v>
      </c>
      <c r="J533">
        <f>Sheet1[[#This Row],[Close Date]]-Sheet1[[#This Row],[Open Date]]</f>
        <v>0</v>
      </c>
      <c r="K533" t="str">
        <f>IF(Sheet1[[#This Row],[Actual Days]]&gt;=1,"Not Met","Met")</f>
        <v>Met</v>
      </c>
      <c r="L533" t="str">
        <f>TEXT(Sheet1[[#This Row],[Open Date]],"mmm")</f>
        <v>May</v>
      </c>
    </row>
    <row r="534" spans="1:12" x14ac:dyDescent="0.3">
      <c r="A534" t="s">
        <v>788</v>
      </c>
      <c r="B534" t="s">
        <v>30</v>
      </c>
      <c r="C534" t="s">
        <v>161</v>
      </c>
      <c r="D534" t="s">
        <v>87</v>
      </c>
      <c r="E534" t="s">
        <v>290</v>
      </c>
      <c r="F534" t="s">
        <v>40</v>
      </c>
      <c r="G534" t="s">
        <v>59</v>
      </c>
      <c r="H534" s="1">
        <v>45296</v>
      </c>
      <c r="I534" s="1">
        <v>45296</v>
      </c>
      <c r="J534">
        <f>Sheet1[[#This Row],[Close Date]]-Sheet1[[#This Row],[Open Date]]</f>
        <v>0</v>
      </c>
      <c r="K534" t="str">
        <f>IF(Sheet1[[#This Row],[Actual Days]]&gt;=1,"Not Met","Met")</f>
        <v>Met</v>
      </c>
      <c r="L534" t="str">
        <f>TEXT(Sheet1[[#This Row],[Open Date]],"mmm")</f>
        <v>Jan</v>
      </c>
    </row>
    <row r="535" spans="1:12" x14ac:dyDescent="0.3">
      <c r="A535" t="s">
        <v>789</v>
      </c>
      <c r="B535" t="s">
        <v>30</v>
      </c>
      <c r="C535" t="s">
        <v>31</v>
      </c>
      <c r="D535" t="s">
        <v>94</v>
      </c>
      <c r="E535" t="s">
        <v>306</v>
      </c>
      <c r="F535" t="s">
        <v>26</v>
      </c>
      <c r="G535" t="s">
        <v>18</v>
      </c>
      <c r="H535" s="1">
        <v>45405</v>
      </c>
      <c r="I535" s="1">
        <v>45405</v>
      </c>
      <c r="J535">
        <f>Sheet1[[#This Row],[Close Date]]-Sheet1[[#This Row],[Open Date]]</f>
        <v>0</v>
      </c>
      <c r="K535" t="str">
        <f>IF(Sheet1[[#This Row],[Actual Days]]&gt;=1,"Not Met","Met")</f>
        <v>Met</v>
      </c>
      <c r="L535" t="str">
        <f>TEXT(Sheet1[[#This Row],[Open Date]],"mmm")</f>
        <v>Apr</v>
      </c>
    </row>
    <row r="536" spans="1:12" x14ac:dyDescent="0.3">
      <c r="A536" t="s">
        <v>790</v>
      </c>
      <c r="B536" t="s">
        <v>30</v>
      </c>
      <c r="C536" t="s">
        <v>31</v>
      </c>
      <c r="D536" t="s">
        <v>38</v>
      </c>
      <c r="E536" t="s">
        <v>310</v>
      </c>
      <c r="F536" t="s">
        <v>26</v>
      </c>
      <c r="G536" t="s">
        <v>49</v>
      </c>
      <c r="H536" s="1">
        <v>45414</v>
      </c>
      <c r="I536" s="1">
        <v>45414</v>
      </c>
      <c r="J536">
        <f>Sheet1[[#This Row],[Close Date]]-Sheet1[[#This Row],[Open Date]]</f>
        <v>0</v>
      </c>
      <c r="K536" t="str">
        <f>IF(Sheet1[[#This Row],[Actual Days]]&gt;=1,"Not Met","Met")</f>
        <v>Met</v>
      </c>
      <c r="L536" t="str">
        <f>TEXT(Sheet1[[#This Row],[Open Date]],"mmm")</f>
        <v>May</v>
      </c>
    </row>
    <row r="537" spans="1:12" x14ac:dyDescent="0.3">
      <c r="A537" t="s">
        <v>791</v>
      </c>
      <c r="B537" t="s">
        <v>30</v>
      </c>
      <c r="C537" t="s">
        <v>51</v>
      </c>
      <c r="D537" t="s">
        <v>73</v>
      </c>
      <c r="E537" t="s">
        <v>314</v>
      </c>
      <c r="F537" t="s">
        <v>17</v>
      </c>
      <c r="G537" t="s">
        <v>18</v>
      </c>
      <c r="H537" s="1">
        <v>45304</v>
      </c>
      <c r="I537" s="1">
        <v>45304</v>
      </c>
      <c r="J537">
        <f>Sheet1[[#This Row],[Close Date]]-Sheet1[[#This Row],[Open Date]]</f>
        <v>0</v>
      </c>
      <c r="K537" t="str">
        <f>IF(Sheet1[[#This Row],[Actual Days]]&gt;=1,"Not Met","Met")</f>
        <v>Met</v>
      </c>
      <c r="L537" t="str">
        <f>TEXT(Sheet1[[#This Row],[Open Date]],"mmm")</f>
        <v>Jan</v>
      </c>
    </row>
    <row r="538" spans="1:12" x14ac:dyDescent="0.3">
      <c r="A538" t="s">
        <v>792</v>
      </c>
      <c r="B538" t="s">
        <v>30</v>
      </c>
      <c r="C538" t="s">
        <v>161</v>
      </c>
      <c r="D538" t="s">
        <v>15</v>
      </c>
      <c r="E538" t="s">
        <v>320</v>
      </c>
      <c r="F538" t="s">
        <v>26</v>
      </c>
      <c r="G538" t="s">
        <v>34</v>
      </c>
      <c r="H538" s="1">
        <v>45302</v>
      </c>
      <c r="I538" s="1">
        <v>45302</v>
      </c>
      <c r="J538">
        <f>Sheet1[[#This Row],[Close Date]]-Sheet1[[#This Row],[Open Date]]</f>
        <v>0</v>
      </c>
      <c r="K538" t="str">
        <f>IF(Sheet1[[#This Row],[Actual Days]]&gt;=1,"Not Met","Met")</f>
        <v>Met</v>
      </c>
      <c r="L538" t="str">
        <f>TEXT(Sheet1[[#This Row],[Open Date]],"mmm")</f>
        <v>Jan</v>
      </c>
    </row>
    <row r="539" spans="1:12" x14ac:dyDescent="0.3">
      <c r="A539" t="s">
        <v>793</v>
      </c>
      <c r="B539" t="s">
        <v>30</v>
      </c>
      <c r="C539" t="s">
        <v>161</v>
      </c>
      <c r="D539" t="s">
        <v>87</v>
      </c>
      <c r="E539" t="s">
        <v>346</v>
      </c>
      <c r="F539" t="s">
        <v>17</v>
      </c>
      <c r="G539" t="s">
        <v>18</v>
      </c>
      <c r="H539" s="1">
        <v>45393</v>
      </c>
      <c r="I539" s="1">
        <v>45393</v>
      </c>
      <c r="J539">
        <f>Sheet1[[#This Row],[Close Date]]-Sheet1[[#This Row],[Open Date]]</f>
        <v>0</v>
      </c>
      <c r="K539" t="str">
        <f>IF(Sheet1[[#This Row],[Actual Days]]&gt;=1,"Not Met","Met")</f>
        <v>Met</v>
      </c>
      <c r="L539" t="str">
        <f>TEXT(Sheet1[[#This Row],[Open Date]],"mmm")</f>
        <v>Apr</v>
      </c>
    </row>
    <row r="540" spans="1:12" x14ac:dyDescent="0.3">
      <c r="A540" t="s">
        <v>794</v>
      </c>
      <c r="B540" t="s">
        <v>30</v>
      </c>
      <c r="C540" t="s">
        <v>51</v>
      </c>
      <c r="D540" t="s">
        <v>32</v>
      </c>
      <c r="E540" t="s">
        <v>378</v>
      </c>
      <c r="F540" t="s">
        <v>17</v>
      </c>
      <c r="G540" t="s">
        <v>18</v>
      </c>
      <c r="H540" s="1">
        <v>45362</v>
      </c>
      <c r="I540" s="1">
        <v>45362</v>
      </c>
      <c r="J540">
        <f>Sheet1[[#This Row],[Close Date]]-Sheet1[[#This Row],[Open Date]]</f>
        <v>0</v>
      </c>
      <c r="K540" t="str">
        <f>IF(Sheet1[[#This Row],[Actual Days]]&gt;=1,"Not Met","Met")</f>
        <v>Met</v>
      </c>
      <c r="L540" t="str">
        <f>TEXT(Sheet1[[#This Row],[Open Date]],"mmm")</f>
        <v>Mar</v>
      </c>
    </row>
    <row r="541" spans="1:12" x14ac:dyDescent="0.3">
      <c r="A541" t="s">
        <v>795</v>
      </c>
      <c r="B541" t="s">
        <v>30</v>
      </c>
      <c r="C541" t="s">
        <v>51</v>
      </c>
      <c r="D541" t="s">
        <v>15</v>
      </c>
      <c r="E541" t="s">
        <v>382</v>
      </c>
      <c r="F541" t="s">
        <v>40</v>
      </c>
      <c r="G541" t="s">
        <v>18</v>
      </c>
      <c r="H541" s="1">
        <v>45296</v>
      </c>
      <c r="I541" s="1">
        <v>45296</v>
      </c>
      <c r="J541">
        <f>Sheet1[[#This Row],[Close Date]]-Sheet1[[#This Row],[Open Date]]</f>
        <v>0</v>
      </c>
      <c r="K541" t="str">
        <f>IF(Sheet1[[#This Row],[Actual Days]]&gt;=1,"Not Met","Met")</f>
        <v>Met</v>
      </c>
      <c r="L541" t="str">
        <f>TEXT(Sheet1[[#This Row],[Open Date]],"mmm")</f>
        <v>Jan</v>
      </c>
    </row>
    <row r="542" spans="1:12" x14ac:dyDescent="0.3">
      <c r="A542" t="s">
        <v>796</v>
      </c>
      <c r="B542" t="s">
        <v>30</v>
      </c>
      <c r="C542" t="s">
        <v>51</v>
      </c>
      <c r="D542" t="s">
        <v>38</v>
      </c>
      <c r="E542" t="s">
        <v>390</v>
      </c>
      <c r="F542" t="s">
        <v>17</v>
      </c>
      <c r="G542" t="s">
        <v>59</v>
      </c>
      <c r="H542" s="1">
        <v>45381</v>
      </c>
      <c r="I542" s="1">
        <v>45381</v>
      </c>
      <c r="J542">
        <f>Sheet1[[#This Row],[Close Date]]-Sheet1[[#This Row],[Open Date]]</f>
        <v>0</v>
      </c>
      <c r="K542" t="str">
        <f>IF(Sheet1[[#This Row],[Actual Days]]&gt;=1,"Not Met","Met")</f>
        <v>Met</v>
      </c>
      <c r="L542" t="str">
        <f>TEXT(Sheet1[[#This Row],[Open Date]],"mmm")</f>
        <v>Mar</v>
      </c>
    </row>
    <row r="543" spans="1:12" x14ac:dyDescent="0.3">
      <c r="A543" t="s">
        <v>797</v>
      </c>
      <c r="B543" t="s">
        <v>30</v>
      </c>
      <c r="C543" t="s">
        <v>31</v>
      </c>
      <c r="D543" t="s">
        <v>38</v>
      </c>
      <c r="E543" t="s">
        <v>414</v>
      </c>
      <c r="F543" t="s">
        <v>40</v>
      </c>
      <c r="G543" t="s">
        <v>18</v>
      </c>
      <c r="H543" s="1">
        <v>45402</v>
      </c>
      <c r="I543" s="1">
        <v>45402</v>
      </c>
      <c r="J543">
        <f>Sheet1[[#This Row],[Close Date]]-Sheet1[[#This Row],[Open Date]]</f>
        <v>0</v>
      </c>
      <c r="K543" t="str">
        <f>IF(Sheet1[[#This Row],[Actual Days]]&gt;=1,"Not Met","Met")</f>
        <v>Met</v>
      </c>
      <c r="L543" t="str">
        <f>TEXT(Sheet1[[#This Row],[Open Date]],"mmm")</f>
        <v>Apr</v>
      </c>
    </row>
    <row r="544" spans="1:12" x14ac:dyDescent="0.3">
      <c r="A544" t="s">
        <v>798</v>
      </c>
      <c r="B544" t="s">
        <v>30</v>
      </c>
      <c r="C544" t="s">
        <v>31</v>
      </c>
      <c r="D544" t="s">
        <v>24</v>
      </c>
      <c r="E544" t="s">
        <v>416</v>
      </c>
      <c r="F544" t="s">
        <v>40</v>
      </c>
      <c r="G544" t="s">
        <v>27</v>
      </c>
      <c r="H544" s="1">
        <v>45431</v>
      </c>
      <c r="I544" s="1">
        <v>45431</v>
      </c>
      <c r="J544">
        <f>Sheet1[[#This Row],[Close Date]]-Sheet1[[#This Row],[Open Date]]</f>
        <v>0</v>
      </c>
      <c r="K544" t="str">
        <f>IF(Sheet1[[#This Row],[Actual Days]]&gt;=1,"Not Met","Met")</f>
        <v>Met</v>
      </c>
      <c r="L544" t="str">
        <f>TEXT(Sheet1[[#This Row],[Open Date]],"mmm")</f>
        <v>May</v>
      </c>
    </row>
    <row r="545" spans="1:12" x14ac:dyDescent="0.3">
      <c r="A545" t="s">
        <v>799</v>
      </c>
      <c r="B545" t="s">
        <v>30</v>
      </c>
      <c r="C545" t="s">
        <v>51</v>
      </c>
      <c r="D545" t="s">
        <v>87</v>
      </c>
      <c r="E545" t="s">
        <v>418</v>
      </c>
      <c r="F545" t="s">
        <v>26</v>
      </c>
      <c r="G545" t="s">
        <v>49</v>
      </c>
      <c r="H545" s="1">
        <v>45336</v>
      </c>
      <c r="I545" s="1">
        <v>45336</v>
      </c>
      <c r="J545">
        <f>Sheet1[[#This Row],[Close Date]]-Sheet1[[#This Row],[Open Date]]</f>
        <v>0</v>
      </c>
      <c r="K545" t="str">
        <f>IF(Sheet1[[#This Row],[Actual Days]]&gt;=1,"Not Met","Met")</f>
        <v>Met</v>
      </c>
      <c r="L545" t="str">
        <f>TEXT(Sheet1[[#This Row],[Open Date]],"mmm")</f>
        <v>Feb</v>
      </c>
    </row>
    <row r="546" spans="1:12" x14ac:dyDescent="0.3">
      <c r="A546" t="s">
        <v>800</v>
      </c>
      <c r="B546" t="s">
        <v>30</v>
      </c>
      <c r="C546" t="s">
        <v>161</v>
      </c>
      <c r="D546" t="s">
        <v>94</v>
      </c>
      <c r="E546" t="s">
        <v>422</v>
      </c>
      <c r="F546" t="s">
        <v>17</v>
      </c>
      <c r="G546" t="s">
        <v>18</v>
      </c>
      <c r="H546" s="1">
        <v>45445</v>
      </c>
      <c r="I546" s="1">
        <v>45445</v>
      </c>
      <c r="J546">
        <f>Sheet1[[#This Row],[Close Date]]-Sheet1[[#This Row],[Open Date]]</f>
        <v>0</v>
      </c>
      <c r="K546" t="str">
        <f>IF(Sheet1[[#This Row],[Actual Days]]&gt;=1,"Not Met","Met")</f>
        <v>Met</v>
      </c>
      <c r="L546" t="str">
        <f>TEXT(Sheet1[[#This Row],[Open Date]],"mmm")</f>
        <v>Jun</v>
      </c>
    </row>
    <row r="547" spans="1:12" x14ac:dyDescent="0.3">
      <c r="A547" t="s">
        <v>801</v>
      </c>
      <c r="B547" t="s">
        <v>30</v>
      </c>
      <c r="C547" t="s">
        <v>51</v>
      </c>
      <c r="D547" t="s">
        <v>73</v>
      </c>
      <c r="E547" t="s">
        <v>436</v>
      </c>
      <c r="F547" t="s">
        <v>40</v>
      </c>
      <c r="G547" t="s">
        <v>34</v>
      </c>
      <c r="H547" s="1">
        <v>45450</v>
      </c>
      <c r="I547" s="1">
        <v>45450</v>
      </c>
      <c r="J547">
        <f>Sheet1[[#This Row],[Close Date]]-Sheet1[[#This Row],[Open Date]]</f>
        <v>0</v>
      </c>
      <c r="K547" t="str">
        <f>IF(Sheet1[[#This Row],[Actual Days]]&gt;=1,"Not Met","Met")</f>
        <v>Met</v>
      </c>
      <c r="L547" t="str">
        <f>TEXT(Sheet1[[#This Row],[Open Date]],"mmm")</f>
        <v>Jun</v>
      </c>
    </row>
    <row r="548" spans="1:12" x14ac:dyDescent="0.3">
      <c r="A548" t="s">
        <v>802</v>
      </c>
      <c r="B548" t="s">
        <v>30</v>
      </c>
      <c r="C548" t="s">
        <v>31</v>
      </c>
      <c r="D548" t="s">
        <v>38</v>
      </c>
      <c r="E548" t="s">
        <v>438</v>
      </c>
      <c r="F548" t="s">
        <v>26</v>
      </c>
      <c r="G548" t="s">
        <v>49</v>
      </c>
      <c r="H548" s="1">
        <v>45292</v>
      </c>
      <c r="I548" s="1">
        <v>45292</v>
      </c>
      <c r="J548">
        <f>Sheet1[[#This Row],[Close Date]]-Sheet1[[#This Row],[Open Date]]</f>
        <v>0</v>
      </c>
      <c r="K548" t="str">
        <f>IF(Sheet1[[#This Row],[Actual Days]]&gt;=1,"Not Met","Met")</f>
        <v>Met</v>
      </c>
      <c r="L548" t="str">
        <f>TEXT(Sheet1[[#This Row],[Open Date]],"mmm")</f>
        <v>Jan</v>
      </c>
    </row>
    <row r="549" spans="1:12" x14ac:dyDescent="0.3">
      <c r="A549" t="s">
        <v>803</v>
      </c>
      <c r="B549" t="s">
        <v>30</v>
      </c>
      <c r="C549" t="s">
        <v>31</v>
      </c>
      <c r="D549" t="s">
        <v>38</v>
      </c>
      <c r="E549" t="s">
        <v>442</v>
      </c>
      <c r="F549" t="s">
        <v>17</v>
      </c>
      <c r="G549" t="s">
        <v>45</v>
      </c>
      <c r="H549" s="1">
        <v>45310</v>
      </c>
      <c r="I549" s="1">
        <v>45310</v>
      </c>
      <c r="J549">
        <f>Sheet1[[#This Row],[Close Date]]-Sheet1[[#This Row],[Open Date]]</f>
        <v>0</v>
      </c>
      <c r="K549" t="str">
        <f>IF(Sheet1[[#This Row],[Actual Days]]&gt;=1,"Not Met","Met")</f>
        <v>Met</v>
      </c>
      <c r="L549" t="str">
        <f>TEXT(Sheet1[[#This Row],[Open Date]],"mmm")</f>
        <v>Jan</v>
      </c>
    </row>
    <row r="550" spans="1:12" x14ac:dyDescent="0.3">
      <c r="A550" t="s">
        <v>804</v>
      </c>
      <c r="B550" t="s">
        <v>30</v>
      </c>
      <c r="C550" t="s">
        <v>161</v>
      </c>
      <c r="D550" t="s">
        <v>38</v>
      </c>
      <c r="E550" t="s">
        <v>230</v>
      </c>
      <c r="F550" t="s">
        <v>26</v>
      </c>
      <c r="G550" t="s">
        <v>27</v>
      </c>
      <c r="H550" s="1">
        <v>45409</v>
      </c>
      <c r="I550" s="1">
        <v>45409</v>
      </c>
      <c r="J550">
        <f>Sheet1[[#This Row],[Close Date]]-Sheet1[[#This Row],[Open Date]]</f>
        <v>0</v>
      </c>
      <c r="K550" t="str">
        <f>IF(Sheet1[[#This Row],[Actual Days]]&gt;=1,"Not Met","Met")</f>
        <v>Met</v>
      </c>
      <c r="L550" t="str">
        <f>TEXT(Sheet1[[#This Row],[Open Date]],"mmm")</f>
        <v>Apr</v>
      </c>
    </row>
    <row r="551" spans="1:12" x14ac:dyDescent="0.3">
      <c r="A551" t="s">
        <v>805</v>
      </c>
      <c r="B551" t="s">
        <v>30</v>
      </c>
      <c r="C551" t="s">
        <v>161</v>
      </c>
      <c r="D551" t="s">
        <v>38</v>
      </c>
      <c r="E551" t="s">
        <v>242</v>
      </c>
      <c r="F551" t="s">
        <v>40</v>
      </c>
      <c r="G551" t="s">
        <v>59</v>
      </c>
      <c r="H551" s="1">
        <v>45372</v>
      </c>
      <c r="I551" s="1">
        <v>45372</v>
      </c>
      <c r="J551">
        <f>Sheet1[[#This Row],[Close Date]]-Sheet1[[#This Row],[Open Date]]</f>
        <v>0</v>
      </c>
      <c r="K551" t="str">
        <f>IF(Sheet1[[#This Row],[Actual Days]]&gt;=1,"Not Met","Met")</f>
        <v>Met</v>
      </c>
      <c r="L551" t="str">
        <f>TEXT(Sheet1[[#This Row],[Open Date]],"mmm")</f>
        <v>Mar</v>
      </c>
    </row>
    <row r="552" spans="1:12" x14ac:dyDescent="0.3">
      <c r="A552" t="s">
        <v>806</v>
      </c>
      <c r="B552" t="s">
        <v>30</v>
      </c>
      <c r="C552" t="s">
        <v>31</v>
      </c>
      <c r="D552" t="s">
        <v>94</v>
      </c>
      <c r="E552" t="s">
        <v>252</v>
      </c>
      <c r="F552" t="s">
        <v>40</v>
      </c>
      <c r="G552" t="s">
        <v>18</v>
      </c>
      <c r="H552" s="1">
        <v>45356</v>
      </c>
      <c r="I552" s="1">
        <v>45356</v>
      </c>
      <c r="J552">
        <f>Sheet1[[#This Row],[Close Date]]-Sheet1[[#This Row],[Open Date]]</f>
        <v>0</v>
      </c>
      <c r="K552" t="str">
        <f>IF(Sheet1[[#This Row],[Actual Days]]&gt;=1,"Not Met","Met")</f>
        <v>Met</v>
      </c>
      <c r="L552" t="str">
        <f>TEXT(Sheet1[[#This Row],[Open Date]],"mmm")</f>
        <v>Mar</v>
      </c>
    </row>
    <row r="553" spans="1:12" x14ac:dyDescent="0.3">
      <c r="A553" t="s">
        <v>807</v>
      </c>
      <c r="B553" t="s">
        <v>30</v>
      </c>
      <c r="C553" t="s">
        <v>51</v>
      </c>
      <c r="D553" t="s">
        <v>94</v>
      </c>
      <c r="E553" t="s">
        <v>260</v>
      </c>
      <c r="F553" t="s">
        <v>40</v>
      </c>
      <c r="G553" t="s">
        <v>27</v>
      </c>
      <c r="H553" s="1">
        <v>45415</v>
      </c>
      <c r="I553" s="1">
        <v>45415</v>
      </c>
      <c r="J553">
        <f>Sheet1[[#This Row],[Close Date]]-Sheet1[[#This Row],[Open Date]]</f>
        <v>0</v>
      </c>
      <c r="K553" t="str">
        <f>IF(Sheet1[[#This Row],[Actual Days]]&gt;=1,"Not Met","Met")</f>
        <v>Met</v>
      </c>
      <c r="L553" t="str">
        <f>TEXT(Sheet1[[#This Row],[Open Date]],"mmm")</f>
        <v>May</v>
      </c>
    </row>
    <row r="554" spans="1:12" x14ac:dyDescent="0.3">
      <c r="A554" t="s">
        <v>808</v>
      </c>
      <c r="B554" t="s">
        <v>30</v>
      </c>
      <c r="C554" t="s">
        <v>51</v>
      </c>
      <c r="D554" t="s">
        <v>156</v>
      </c>
      <c r="E554" t="s">
        <v>266</v>
      </c>
      <c r="F554" t="s">
        <v>17</v>
      </c>
      <c r="G554" t="s">
        <v>45</v>
      </c>
      <c r="H554" s="1">
        <v>45412</v>
      </c>
      <c r="I554" s="1">
        <v>45412</v>
      </c>
      <c r="J554">
        <f>Sheet1[[#This Row],[Close Date]]-Sheet1[[#This Row],[Open Date]]</f>
        <v>0</v>
      </c>
      <c r="K554" t="str">
        <f>IF(Sheet1[[#This Row],[Actual Days]]&gt;=1,"Not Met","Met")</f>
        <v>Met</v>
      </c>
      <c r="L554" t="str">
        <f>TEXT(Sheet1[[#This Row],[Open Date]],"mmm")</f>
        <v>Apr</v>
      </c>
    </row>
    <row r="555" spans="1:12" x14ac:dyDescent="0.3">
      <c r="A555" t="s">
        <v>809</v>
      </c>
      <c r="B555" t="s">
        <v>30</v>
      </c>
      <c r="C555" t="s">
        <v>51</v>
      </c>
      <c r="D555" t="s">
        <v>32</v>
      </c>
      <c r="E555" t="s">
        <v>272</v>
      </c>
      <c r="F555" t="s">
        <v>40</v>
      </c>
      <c r="G555" t="s">
        <v>27</v>
      </c>
      <c r="H555" s="1">
        <v>45356</v>
      </c>
      <c r="I555" s="1">
        <v>45356</v>
      </c>
      <c r="J555">
        <f>Sheet1[[#This Row],[Close Date]]-Sheet1[[#This Row],[Open Date]]</f>
        <v>0</v>
      </c>
      <c r="K555" t="str">
        <f>IF(Sheet1[[#This Row],[Actual Days]]&gt;=1,"Not Met","Met")</f>
        <v>Met</v>
      </c>
      <c r="L555" t="str">
        <f>TEXT(Sheet1[[#This Row],[Open Date]],"mmm")</f>
        <v>Mar</v>
      </c>
    </row>
    <row r="556" spans="1:12" x14ac:dyDescent="0.3">
      <c r="A556" t="s">
        <v>810</v>
      </c>
      <c r="B556" t="s">
        <v>30</v>
      </c>
      <c r="C556" t="s">
        <v>31</v>
      </c>
      <c r="D556" t="s">
        <v>38</v>
      </c>
      <c r="E556" t="s">
        <v>274</v>
      </c>
      <c r="F556" t="s">
        <v>40</v>
      </c>
      <c r="G556" t="s">
        <v>34</v>
      </c>
      <c r="H556" s="1">
        <v>45430</v>
      </c>
      <c r="I556" s="1">
        <v>45430</v>
      </c>
      <c r="J556">
        <f>Sheet1[[#This Row],[Close Date]]-Sheet1[[#This Row],[Open Date]]</f>
        <v>0</v>
      </c>
      <c r="K556" t="str">
        <f>IF(Sheet1[[#This Row],[Actual Days]]&gt;=1,"Not Met","Met")</f>
        <v>Met</v>
      </c>
      <c r="L556" t="str">
        <f>TEXT(Sheet1[[#This Row],[Open Date]],"mmm")</f>
        <v>May</v>
      </c>
    </row>
    <row r="557" spans="1:12" x14ac:dyDescent="0.3">
      <c r="A557" t="s">
        <v>811</v>
      </c>
      <c r="B557" t="s">
        <v>30</v>
      </c>
      <c r="C557" t="s">
        <v>161</v>
      </c>
      <c r="D557" t="s">
        <v>38</v>
      </c>
      <c r="E557" t="s">
        <v>280</v>
      </c>
      <c r="F557" t="s">
        <v>26</v>
      </c>
      <c r="G557" t="s">
        <v>49</v>
      </c>
      <c r="H557" s="1">
        <v>45313</v>
      </c>
      <c r="I557" s="1">
        <v>45313</v>
      </c>
      <c r="J557">
        <f>Sheet1[[#This Row],[Close Date]]-Sheet1[[#This Row],[Open Date]]</f>
        <v>0</v>
      </c>
      <c r="K557" t="str">
        <f>IF(Sheet1[[#This Row],[Actual Days]]&gt;=1,"Not Met","Met")</f>
        <v>Met</v>
      </c>
      <c r="L557" t="str">
        <f>TEXT(Sheet1[[#This Row],[Open Date]],"mmm")</f>
        <v>Jan</v>
      </c>
    </row>
    <row r="558" spans="1:12" x14ac:dyDescent="0.3">
      <c r="A558" t="s">
        <v>812</v>
      </c>
      <c r="B558" t="s">
        <v>30</v>
      </c>
      <c r="C558" t="s">
        <v>31</v>
      </c>
      <c r="D558" t="s">
        <v>73</v>
      </c>
      <c r="E558" t="s">
        <v>288</v>
      </c>
      <c r="F558" t="s">
        <v>26</v>
      </c>
      <c r="G558" t="s">
        <v>27</v>
      </c>
      <c r="H558" s="1">
        <v>45432</v>
      </c>
      <c r="I558" s="1">
        <v>45432</v>
      </c>
      <c r="J558">
        <f>Sheet1[[#This Row],[Close Date]]-Sheet1[[#This Row],[Open Date]]</f>
        <v>0</v>
      </c>
      <c r="K558" t="str">
        <f>IF(Sheet1[[#This Row],[Actual Days]]&gt;=1,"Not Met","Met")</f>
        <v>Met</v>
      </c>
      <c r="L558" t="str">
        <f>TEXT(Sheet1[[#This Row],[Open Date]],"mmm")</f>
        <v>May</v>
      </c>
    </row>
    <row r="559" spans="1:12" x14ac:dyDescent="0.3">
      <c r="A559" t="s">
        <v>813</v>
      </c>
      <c r="B559" t="s">
        <v>30</v>
      </c>
      <c r="C559" t="s">
        <v>161</v>
      </c>
      <c r="D559" t="s">
        <v>87</v>
      </c>
      <c r="E559" t="s">
        <v>290</v>
      </c>
      <c r="F559" t="s">
        <v>40</v>
      </c>
      <c r="G559" t="s">
        <v>59</v>
      </c>
      <c r="H559" s="1">
        <v>45296</v>
      </c>
      <c r="I559" s="1">
        <v>45296</v>
      </c>
      <c r="J559">
        <f>Sheet1[[#This Row],[Close Date]]-Sheet1[[#This Row],[Open Date]]</f>
        <v>0</v>
      </c>
      <c r="K559" t="str">
        <f>IF(Sheet1[[#This Row],[Actual Days]]&gt;=1,"Not Met","Met")</f>
        <v>Met</v>
      </c>
      <c r="L559" t="str">
        <f>TEXT(Sheet1[[#This Row],[Open Date]],"mmm")</f>
        <v>Jan</v>
      </c>
    </row>
    <row r="560" spans="1:12" x14ac:dyDescent="0.3">
      <c r="A560" t="s">
        <v>814</v>
      </c>
      <c r="B560" t="s">
        <v>30</v>
      </c>
      <c r="C560" t="s">
        <v>31</v>
      </c>
      <c r="D560" t="s">
        <v>24</v>
      </c>
      <c r="E560" t="s">
        <v>306</v>
      </c>
      <c r="F560" t="s">
        <v>26</v>
      </c>
      <c r="G560" t="s">
        <v>18</v>
      </c>
      <c r="H560" s="1">
        <v>45405</v>
      </c>
      <c r="I560" s="1">
        <v>45405</v>
      </c>
      <c r="J560">
        <f>Sheet1[[#This Row],[Close Date]]-Sheet1[[#This Row],[Open Date]]</f>
        <v>0</v>
      </c>
      <c r="K560" t="str">
        <f>IF(Sheet1[[#This Row],[Actual Days]]&gt;=1,"Not Met","Met")</f>
        <v>Met</v>
      </c>
      <c r="L560" t="str">
        <f>TEXT(Sheet1[[#This Row],[Open Date]],"mmm")</f>
        <v>Apr</v>
      </c>
    </row>
    <row r="561" spans="1:12" x14ac:dyDescent="0.3">
      <c r="A561" t="s">
        <v>815</v>
      </c>
      <c r="B561" t="s">
        <v>30</v>
      </c>
      <c r="C561" t="s">
        <v>31</v>
      </c>
      <c r="D561" t="s">
        <v>38</v>
      </c>
      <c r="E561" t="s">
        <v>310</v>
      </c>
      <c r="F561" t="s">
        <v>26</v>
      </c>
      <c r="G561" t="s">
        <v>49</v>
      </c>
      <c r="H561" s="1">
        <v>45414</v>
      </c>
      <c r="I561" s="1">
        <v>45414</v>
      </c>
      <c r="J561">
        <f>Sheet1[[#This Row],[Close Date]]-Sheet1[[#This Row],[Open Date]]</f>
        <v>0</v>
      </c>
      <c r="K561" t="str">
        <f>IF(Sheet1[[#This Row],[Actual Days]]&gt;=1,"Not Met","Met")</f>
        <v>Met</v>
      </c>
      <c r="L561" t="str">
        <f>TEXT(Sheet1[[#This Row],[Open Date]],"mmm")</f>
        <v>May</v>
      </c>
    </row>
    <row r="562" spans="1:12" x14ac:dyDescent="0.3">
      <c r="A562" t="s">
        <v>816</v>
      </c>
      <c r="B562" t="s">
        <v>30</v>
      </c>
      <c r="C562" t="s">
        <v>51</v>
      </c>
      <c r="D562" t="s">
        <v>73</v>
      </c>
      <c r="E562" t="s">
        <v>314</v>
      </c>
      <c r="F562" t="s">
        <v>17</v>
      </c>
      <c r="G562" t="s">
        <v>18</v>
      </c>
      <c r="H562" s="1">
        <v>45304</v>
      </c>
      <c r="I562" s="1">
        <v>45304</v>
      </c>
      <c r="J562">
        <f>Sheet1[[#This Row],[Close Date]]-Sheet1[[#This Row],[Open Date]]</f>
        <v>0</v>
      </c>
      <c r="K562" t="str">
        <f>IF(Sheet1[[#This Row],[Actual Days]]&gt;=1,"Not Met","Met")</f>
        <v>Met</v>
      </c>
      <c r="L562" t="str">
        <f>TEXT(Sheet1[[#This Row],[Open Date]],"mmm")</f>
        <v>Jan</v>
      </c>
    </row>
    <row r="563" spans="1:12" x14ac:dyDescent="0.3">
      <c r="A563" t="s">
        <v>817</v>
      </c>
      <c r="B563" t="s">
        <v>30</v>
      </c>
      <c r="C563" t="s">
        <v>161</v>
      </c>
      <c r="D563" t="s">
        <v>15</v>
      </c>
      <c r="E563" t="s">
        <v>320</v>
      </c>
      <c r="F563" t="s">
        <v>26</v>
      </c>
      <c r="G563" t="s">
        <v>34</v>
      </c>
      <c r="H563" s="1">
        <v>45302</v>
      </c>
      <c r="I563" s="1">
        <v>45302</v>
      </c>
      <c r="J563">
        <f>Sheet1[[#This Row],[Close Date]]-Sheet1[[#This Row],[Open Date]]</f>
        <v>0</v>
      </c>
      <c r="K563" t="str">
        <f>IF(Sheet1[[#This Row],[Actual Days]]&gt;=1,"Not Met","Met")</f>
        <v>Met</v>
      </c>
      <c r="L563" t="str">
        <f>TEXT(Sheet1[[#This Row],[Open Date]],"mmm")</f>
        <v>Jan</v>
      </c>
    </row>
    <row r="564" spans="1:12" x14ac:dyDescent="0.3">
      <c r="A564" t="s">
        <v>818</v>
      </c>
      <c r="B564" t="s">
        <v>30</v>
      </c>
      <c r="C564" t="s">
        <v>161</v>
      </c>
      <c r="D564" t="s">
        <v>87</v>
      </c>
      <c r="E564" t="s">
        <v>346</v>
      </c>
      <c r="F564" t="s">
        <v>17</v>
      </c>
      <c r="G564" t="s">
        <v>18</v>
      </c>
      <c r="H564" s="1">
        <v>45393</v>
      </c>
      <c r="I564" s="1">
        <v>45393</v>
      </c>
      <c r="J564">
        <f>Sheet1[[#This Row],[Close Date]]-Sheet1[[#This Row],[Open Date]]</f>
        <v>0</v>
      </c>
      <c r="K564" t="str">
        <f>IF(Sheet1[[#This Row],[Actual Days]]&gt;=1,"Not Met","Met")</f>
        <v>Met</v>
      </c>
      <c r="L564" t="str">
        <f>TEXT(Sheet1[[#This Row],[Open Date]],"mmm")</f>
        <v>Apr</v>
      </c>
    </row>
    <row r="565" spans="1:12" x14ac:dyDescent="0.3">
      <c r="A565" t="s">
        <v>819</v>
      </c>
      <c r="B565" t="s">
        <v>13</v>
      </c>
      <c r="C565" t="s">
        <v>14</v>
      </c>
      <c r="D565" t="s">
        <v>15</v>
      </c>
      <c r="E565" t="s">
        <v>16</v>
      </c>
      <c r="F565" t="s">
        <v>17</v>
      </c>
      <c r="G565" t="s">
        <v>18</v>
      </c>
      <c r="H565" s="1">
        <v>45524</v>
      </c>
      <c r="I565" s="1">
        <v>45524</v>
      </c>
      <c r="J565">
        <f>Sheet1[[#This Row],[Close Date]]-Sheet1[[#This Row],[Open Date]]</f>
        <v>0</v>
      </c>
      <c r="K565" t="str">
        <f>IF(Sheet1[[#This Row],[Actual Days]]&gt;=1,"Not Met","Met")</f>
        <v>Met</v>
      </c>
      <c r="L565" t="str">
        <f>TEXT(Sheet1[[#This Row],[Open Date]],"mmm")</f>
        <v>Aug</v>
      </c>
    </row>
    <row r="566" spans="1:12" x14ac:dyDescent="0.3">
      <c r="A566" t="s">
        <v>821</v>
      </c>
      <c r="B566" t="s">
        <v>22</v>
      </c>
      <c r="C566" t="s">
        <v>23</v>
      </c>
      <c r="D566" t="s">
        <v>24</v>
      </c>
      <c r="E566" t="s">
        <v>25</v>
      </c>
      <c r="F566" t="s">
        <v>26</v>
      </c>
      <c r="G566" t="s">
        <v>27</v>
      </c>
      <c r="H566" s="1">
        <v>45628</v>
      </c>
      <c r="I566" s="1">
        <v>45628</v>
      </c>
      <c r="J566">
        <f>Sheet1[[#This Row],[Close Date]]-Sheet1[[#This Row],[Open Date]]</f>
        <v>0</v>
      </c>
      <c r="K566" t="str">
        <f>IF(Sheet1[[#This Row],[Actual Days]]&gt;=1,"Not Met","Met")</f>
        <v>Met</v>
      </c>
      <c r="L566" t="str">
        <f>TEXT(Sheet1[[#This Row],[Open Date]],"mmm")</f>
        <v>Dec</v>
      </c>
    </row>
    <row r="567" spans="1:12" x14ac:dyDescent="0.3">
      <c r="A567" t="s">
        <v>823</v>
      </c>
      <c r="B567" t="s">
        <v>30</v>
      </c>
      <c r="C567" t="s">
        <v>31</v>
      </c>
      <c r="D567" t="s">
        <v>32</v>
      </c>
      <c r="E567" t="s">
        <v>33</v>
      </c>
      <c r="F567" t="s">
        <v>26</v>
      </c>
      <c r="G567" t="s">
        <v>34</v>
      </c>
      <c r="H567" s="1">
        <v>45513</v>
      </c>
      <c r="I567" s="1">
        <v>45513</v>
      </c>
      <c r="J567">
        <f>Sheet1[[#This Row],[Close Date]]-Sheet1[[#This Row],[Open Date]]</f>
        <v>0</v>
      </c>
      <c r="K567" t="str">
        <f>IF(Sheet1[[#This Row],[Actual Days]]&gt;=1,"Not Met","Met")</f>
        <v>Met</v>
      </c>
      <c r="L567" t="str">
        <f>TEXT(Sheet1[[#This Row],[Open Date]],"mmm")</f>
        <v>Aug</v>
      </c>
    </row>
    <row r="568" spans="1:12" x14ac:dyDescent="0.3">
      <c r="A568" t="s">
        <v>824</v>
      </c>
      <c r="B568" t="s">
        <v>36</v>
      </c>
      <c r="C568" t="s">
        <v>37</v>
      </c>
      <c r="D568" t="s">
        <v>38</v>
      </c>
      <c r="E568" t="s">
        <v>39</v>
      </c>
      <c r="F568" t="s">
        <v>40</v>
      </c>
      <c r="G568" t="s">
        <v>18</v>
      </c>
      <c r="H568" s="1">
        <v>45627</v>
      </c>
      <c r="I568" s="1">
        <v>45627</v>
      </c>
      <c r="J568">
        <f>Sheet1[[#This Row],[Close Date]]-Sheet1[[#This Row],[Open Date]]</f>
        <v>0</v>
      </c>
      <c r="K568" t="str">
        <f>IF(Sheet1[[#This Row],[Actual Days]]&gt;=1,"Not Met","Met")</f>
        <v>Met</v>
      </c>
      <c r="L568" t="str">
        <f>TEXT(Sheet1[[#This Row],[Open Date]],"mmm")</f>
        <v>Dec</v>
      </c>
    </row>
    <row r="569" spans="1:12" x14ac:dyDescent="0.3">
      <c r="A569" t="s">
        <v>825</v>
      </c>
      <c r="B569" t="s">
        <v>42</v>
      </c>
      <c r="C569" t="s">
        <v>43</v>
      </c>
      <c r="D569" t="s">
        <v>24</v>
      </c>
      <c r="E569" t="s">
        <v>44</v>
      </c>
      <c r="F569" t="s">
        <v>40</v>
      </c>
      <c r="G569" t="s">
        <v>45</v>
      </c>
      <c r="H569" s="1">
        <v>45486</v>
      </c>
      <c r="I569" s="1">
        <v>45486</v>
      </c>
      <c r="J569">
        <f>Sheet1[[#This Row],[Close Date]]-Sheet1[[#This Row],[Open Date]]</f>
        <v>0</v>
      </c>
      <c r="K569" t="str">
        <f>IF(Sheet1[[#This Row],[Actual Days]]&gt;=1,"Not Met","Met")</f>
        <v>Met</v>
      </c>
      <c r="L569" t="str">
        <f>TEXT(Sheet1[[#This Row],[Open Date]],"mmm")</f>
        <v>Jul</v>
      </c>
    </row>
    <row r="570" spans="1:12" x14ac:dyDescent="0.3">
      <c r="A570" t="s">
        <v>827</v>
      </c>
      <c r="B570" t="s">
        <v>22</v>
      </c>
      <c r="C570" t="s">
        <v>23</v>
      </c>
      <c r="D570" t="s">
        <v>15</v>
      </c>
      <c r="E570" t="s">
        <v>48</v>
      </c>
      <c r="F570" t="s">
        <v>40</v>
      </c>
      <c r="G570" t="s">
        <v>49</v>
      </c>
      <c r="H570" s="1">
        <v>45520</v>
      </c>
      <c r="I570" s="1">
        <v>45520</v>
      </c>
      <c r="J570">
        <f>Sheet1[[#This Row],[Close Date]]-Sheet1[[#This Row],[Open Date]]</f>
        <v>0</v>
      </c>
      <c r="K570" t="str">
        <f>IF(Sheet1[[#This Row],[Actual Days]]&gt;=1,"Not Met","Met")</f>
        <v>Met</v>
      </c>
      <c r="L570" t="str">
        <f>TEXT(Sheet1[[#This Row],[Open Date]],"mmm")</f>
        <v>Aug</v>
      </c>
    </row>
    <row r="571" spans="1:12" x14ac:dyDescent="0.3">
      <c r="A571" t="s">
        <v>828</v>
      </c>
      <c r="B571" t="s">
        <v>30</v>
      </c>
      <c r="C571" t="s">
        <v>51</v>
      </c>
      <c r="D571" t="s">
        <v>15</v>
      </c>
      <c r="E571" t="s">
        <v>52</v>
      </c>
      <c r="F571" t="s">
        <v>40</v>
      </c>
      <c r="G571" t="s">
        <v>45</v>
      </c>
      <c r="H571" s="1">
        <v>45496</v>
      </c>
      <c r="I571" s="1">
        <v>45496</v>
      </c>
      <c r="J571">
        <f>Sheet1[[#This Row],[Close Date]]-Sheet1[[#This Row],[Open Date]]</f>
        <v>0</v>
      </c>
      <c r="K571" t="str">
        <f>IF(Sheet1[[#This Row],[Actual Days]]&gt;=1,"Not Met","Met")</f>
        <v>Met</v>
      </c>
      <c r="L571" t="str">
        <f>TEXT(Sheet1[[#This Row],[Open Date]],"mmm")</f>
        <v>Jul</v>
      </c>
    </row>
    <row r="572" spans="1:12" x14ac:dyDescent="0.3">
      <c r="A572" t="s">
        <v>829</v>
      </c>
      <c r="B572" t="s">
        <v>30</v>
      </c>
      <c r="C572" t="s">
        <v>51</v>
      </c>
      <c r="D572" t="s">
        <v>38</v>
      </c>
      <c r="E572" t="s">
        <v>55</v>
      </c>
      <c r="F572" t="s">
        <v>17</v>
      </c>
      <c r="G572" t="s">
        <v>34</v>
      </c>
      <c r="H572" s="1">
        <v>45583</v>
      </c>
      <c r="I572" s="1">
        <v>45583</v>
      </c>
      <c r="J572">
        <f>Sheet1[[#This Row],[Close Date]]-Sheet1[[#This Row],[Open Date]]</f>
        <v>0</v>
      </c>
      <c r="K572" t="str">
        <f>IF(Sheet1[[#This Row],[Actual Days]]&gt;=1,"Not Met","Met")</f>
        <v>Met</v>
      </c>
      <c r="L572" t="str">
        <f>TEXT(Sheet1[[#This Row],[Open Date]],"mmm")</f>
        <v>Oct</v>
      </c>
    </row>
    <row r="573" spans="1:12" x14ac:dyDescent="0.3">
      <c r="A573" t="s">
        <v>831</v>
      </c>
      <c r="B573" t="s">
        <v>13</v>
      </c>
      <c r="C573" t="s">
        <v>14</v>
      </c>
      <c r="D573" t="s">
        <v>38</v>
      </c>
      <c r="E573" t="s">
        <v>58</v>
      </c>
      <c r="F573" t="s">
        <v>40</v>
      </c>
      <c r="G573" t="s">
        <v>59</v>
      </c>
      <c r="H573" s="1">
        <v>45612</v>
      </c>
      <c r="I573" s="1">
        <v>45613</v>
      </c>
      <c r="J573">
        <f>Sheet1[[#This Row],[Close Date]]-Sheet1[[#This Row],[Open Date]]</f>
        <v>1</v>
      </c>
      <c r="K573" t="str">
        <f>IF(Sheet1[[#This Row],[Actual Days]]&gt;=1,"Not Met","Met")</f>
        <v>Not Met</v>
      </c>
      <c r="L573" t="str">
        <f>TEXT(Sheet1[[#This Row],[Open Date]],"mmm")</f>
        <v>Nov</v>
      </c>
    </row>
    <row r="574" spans="1:12" x14ac:dyDescent="0.3">
      <c r="A574" t="s">
        <v>833</v>
      </c>
      <c r="B574" t="s">
        <v>36</v>
      </c>
      <c r="C574" t="s">
        <v>62</v>
      </c>
      <c r="D574" t="s">
        <v>38</v>
      </c>
      <c r="E574" t="s">
        <v>63</v>
      </c>
      <c r="F574" t="s">
        <v>26</v>
      </c>
      <c r="G574" t="s">
        <v>45</v>
      </c>
      <c r="H574" s="1">
        <v>45567</v>
      </c>
      <c r="I574" s="1">
        <v>45567</v>
      </c>
      <c r="J574">
        <f>Sheet1[[#This Row],[Close Date]]-Sheet1[[#This Row],[Open Date]]</f>
        <v>0</v>
      </c>
      <c r="K574" t="str">
        <f>IF(Sheet1[[#This Row],[Actual Days]]&gt;=1,"Not Met","Met")</f>
        <v>Met</v>
      </c>
      <c r="L574" t="str">
        <f>TEXT(Sheet1[[#This Row],[Open Date]],"mmm")</f>
        <v>Oct</v>
      </c>
    </row>
    <row r="575" spans="1:12" x14ac:dyDescent="0.3">
      <c r="A575" t="s">
        <v>834</v>
      </c>
      <c r="B575" t="s">
        <v>13</v>
      </c>
      <c r="C575" t="s">
        <v>65</v>
      </c>
      <c r="D575" t="s">
        <v>24</v>
      </c>
      <c r="E575" t="s">
        <v>66</v>
      </c>
      <c r="F575" t="s">
        <v>26</v>
      </c>
      <c r="G575" t="s">
        <v>34</v>
      </c>
      <c r="H575" s="1">
        <v>45621</v>
      </c>
      <c r="I575" s="1">
        <v>45622</v>
      </c>
      <c r="J575">
        <f>Sheet1[[#This Row],[Close Date]]-Sheet1[[#This Row],[Open Date]]</f>
        <v>1</v>
      </c>
      <c r="K575" t="str">
        <f>IF(Sheet1[[#This Row],[Actual Days]]&gt;=1,"Not Met","Met")</f>
        <v>Not Met</v>
      </c>
      <c r="L575" t="str">
        <f>TEXT(Sheet1[[#This Row],[Open Date]],"mmm")</f>
        <v>Nov</v>
      </c>
    </row>
    <row r="576" spans="1:12" x14ac:dyDescent="0.3">
      <c r="A576" t="s">
        <v>835</v>
      </c>
      <c r="B576" t="s">
        <v>13</v>
      </c>
      <c r="C576" t="s">
        <v>68</v>
      </c>
      <c r="D576" t="s">
        <v>38</v>
      </c>
      <c r="E576" t="s">
        <v>69</v>
      </c>
      <c r="F576" t="s">
        <v>40</v>
      </c>
      <c r="G576" t="s">
        <v>49</v>
      </c>
      <c r="H576" s="1">
        <v>45634</v>
      </c>
      <c r="I576" s="1">
        <v>45634</v>
      </c>
      <c r="J576">
        <f>Sheet1[[#This Row],[Close Date]]-Sheet1[[#This Row],[Open Date]]</f>
        <v>0</v>
      </c>
      <c r="K576" t="str">
        <f>IF(Sheet1[[#This Row],[Actual Days]]&gt;=1,"Not Met","Met")</f>
        <v>Met</v>
      </c>
      <c r="L576" t="str">
        <f>TEXT(Sheet1[[#This Row],[Open Date]],"mmm")</f>
        <v>Dec</v>
      </c>
    </row>
    <row r="577" spans="1:12" x14ac:dyDescent="0.3">
      <c r="A577" t="s">
        <v>836</v>
      </c>
      <c r="B577" t="s">
        <v>36</v>
      </c>
      <c r="C577" t="s">
        <v>37</v>
      </c>
      <c r="D577" t="s">
        <v>38</v>
      </c>
      <c r="E577" t="s">
        <v>71</v>
      </c>
      <c r="F577" t="s">
        <v>26</v>
      </c>
      <c r="G577" t="s">
        <v>59</v>
      </c>
      <c r="H577" s="1">
        <v>45526</v>
      </c>
      <c r="I577" s="1">
        <v>45526</v>
      </c>
      <c r="J577">
        <f>Sheet1[[#This Row],[Close Date]]-Sheet1[[#This Row],[Open Date]]</f>
        <v>0</v>
      </c>
      <c r="K577" t="str">
        <f>IF(Sheet1[[#This Row],[Actual Days]]&gt;=1,"Not Met","Met")</f>
        <v>Met</v>
      </c>
      <c r="L577" t="str">
        <f>TEXT(Sheet1[[#This Row],[Open Date]],"mmm")</f>
        <v>Aug</v>
      </c>
    </row>
    <row r="578" spans="1:12" x14ac:dyDescent="0.3">
      <c r="A578" t="s">
        <v>837</v>
      </c>
      <c r="B578" t="s">
        <v>13</v>
      </c>
      <c r="C578" t="s">
        <v>14</v>
      </c>
      <c r="D578" t="s">
        <v>73</v>
      </c>
      <c r="E578" t="s">
        <v>74</v>
      </c>
      <c r="F578" t="s">
        <v>17</v>
      </c>
      <c r="G578" t="s">
        <v>34</v>
      </c>
      <c r="H578" s="1">
        <v>45524</v>
      </c>
      <c r="I578" s="1">
        <v>45524</v>
      </c>
      <c r="J578">
        <f>Sheet1[[#This Row],[Close Date]]-Sheet1[[#This Row],[Open Date]]</f>
        <v>0</v>
      </c>
      <c r="K578" t="str">
        <f>IF(Sheet1[[#This Row],[Actual Days]]&gt;=1,"Not Met","Met")</f>
        <v>Met</v>
      </c>
      <c r="L578" t="str">
        <f>TEXT(Sheet1[[#This Row],[Open Date]],"mmm")</f>
        <v>Aug</v>
      </c>
    </row>
    <row r="579" spans="1:12" x14ac:dyDescent="0.3">
      <c r="A579" t="s">
        <v>838</v>
      </c>
      <c r="B579" t="s">
        <v>36</v>
      </c>
      <c r="C579" t="s">
        <v>76</v>
      </c>
      <c r="D579" t="s">
        <v>73</v>
      </c>
      <c r="E579" t="s">
        <v>77</v>
      </c>
      <c r="F579" t="s">
        <v>17</v>
      </c>
      <c r="G579" t="s">
        <v>18</v>
      </c>
      <c r="H579" s="1">
        <v>45635</v>
      </c>
      <c r="I579" s="1">
        <v>45635</v>
      </c>
      <c r="J579">
        <f>Sheet1[[#This Row],[Close Date]]-Sheet1[[#This Row],[Open Date]]</f>
        <v>0</v>
      </c>
      <c r="K579" t="str">
        <f>IF(Sheet1[[#This Row],[Actual Days]]&gt;=1,"Not Met","Met")</f>
        <v>Met</v>
      </c>
      <c r="L579" t="str">
        <f>TEXT(Sheet1[[#This Row],[Open Date]],"mmm")</f>
        <v>Dec</v>
      </c>
    </row>
    <row r="580" spans="1:12" x14ac:dyDescent="0.3">
      <c r="A580" t="s">
        <v>839</v>
      </c>
      <c r="B580" t="s">
        <v>13</v>
      </c>
      <c r="C580" t="s">
        <v>68</v>
      </c>
      <c r="D580" t="s">
        <v>32</v>
      </c>
      <c r="E580" t="s">
        <v>79</v>
      </c>
      <c r="F580" t="s">
        <v>40</v>
      </c>
      <c r="G580" t="s">
        <v>27</v>
      </c>
      <c r="H580" s="1">
        <v>45478</v>
      </c>
      <c r="I580" s="1">
        <v>45478</v>
      </c>
      <c r="J580">
        <f>Sheet1[[#This Row],[Close Date]]-Sheet1[[#This Row],[Open Date]]</f>
        <v>0</v>
      </c>
      <c r="K580" t="str">
        <f>IF(Sheet1[[#This Row],[Actual Days]]&gt;=1,"Not Met","Met")</f>
        <v>Met</v>
      </c>
      <c r="L580" t="str">
        <f>TEXT(Sheet1[[#This Row],[Open Date]],"mmm")</f>
        <v>Jul</v>
      </c>
    </row>
    <row r="581" spans="1:12" x14ac:dyDescent="0.3">
      <c r="A581" t="s">
        <v>840</v>
      </c>
      <c r="B581" t="s">
        <v>13</v>
      </c>
      <c r="C581" t="s">
        <v>65</v>
      </c>
      <c r="D581" t="s">
        <v>38</v>
      </c>
      <c r="E581" t="s">
        <v>81</v>
      </c>
      <c r="F581" t="s">
        <v>17</v>
      </c>
      <c r="G581" t="s">
        <v>18</v>
      </c>
      <c r="H581" s="1">
        <v>45545</v>
      </c>
      <c r="I581" s="1">
        <v>45545</v>
      </c>
      <c r="J581">
        <f>Sheet1[[#This Row],[Close Date]]-Sheet1[[#This Row],[Open Date]]</f>
        <v>0</v>
      </c>
      <c r="K581" t="str">
        <f>IF(Sheet1[[#This Row],[Actual Days]]&gt;=1,"Not Met","Met")</f>
        <v>Met</v>
      </c>
      <c r="L581" t="str">
        <f>TEXT(Sheet1[[#This Row],[Open Date]],"mmm")</f>
        <v>Sep</v>
      </c>
    </row>
    <row r="582" spans="1:12" x14ac:dyDescent="0.3">
      <c r="A582" t="s">
        <v>842</v>
      </c>
      <c r="B582" t="s">
        <v>22</v>
      </c>
      <c r="C582" t="s">
        <v>84</v>
      </c>
      <c r="D582" t="s">
        <v>38</v>
      </c>
      <c r="E582" t="s">
        <v>85</v>
      </c>
      <c r="F582" t="s">
        <v>40</v>
      </c>
      <c r="G582" t="s">
        <v>18</v>
      </c>
      <c r="H582" s="1">
        <v>45588</v>
      </c>
      <c r="I582" s="1">
        <v>45588</v>
      </c>
      <c r="J582">
        <f>Sheet1[[#This Row],[Close Date]]-Sheet1[[#This Row],[Open Date]]</f>
        <v>0</v>
      </c>
      <c r="K582" t="str">
        <f>IF(Sheet1[[#This Row],[Actual Days]]&gt;=1,"Not Met","Met")</f>
        <v>Met</v>
      </c>
      <c r="L582" t="str">
        <f>TEXT(Sheet1[[#This Row],[Open Date]],"mmm")</f>
        <v>Oct</v>
      </c>
    </row>
    <row r="583" spans="1:12" x14ac:dyDescent="0.3">
      <c r="A583" t="s">
        <v>843</v>
      </c>
      <c r="B583" t="s">
        <v>13</v>
      </c>
      <c r="C583" t="s">
        <v>14</v>
      </c>
      <c r="D583" t="s">
        <v>87</v>
      </c>
      <c r="E583" t="s">
        <v>88</v>
      </c>
      <c r="F583" t="s">
        <v>17</v>
      </c>
      <c r="G583" t="s">
        <v>45</v>
      </c>
      <c r="H583" s="1">
        <v>45478</v>
      </c>
      <c r="I583" s="1">
        <v>45478</v>
      </c>
      <c r="J583">
        <f>Sheet1[[#This Row],[Close Date]]-Sheet1[[#This Row],[Open Date]]</f>
        <v>0</v>
      </c>
      <c r="K583" t="str">
        <f>IF(Sheet1[[#This Row],[Actual Days]]&gt;=1,"Not Met","Met")</f>
        <v>Met</v>
      </c>
      <c r="L583" t="str">
        <f>TEXT(Sheet1[[#This Row],[Open Date]],"mmm")</f>
        <v>Jul</v>
      </c>
    </row>
    <row r="584" spans="1:12" x14ac:dyDescent="0.3">
      <c r="A584" t="s">
        <v>844</v>
      </c>
      <c r="B584" t="s">
        <v>13</v>
      </c>
      <c r="C584" t="s">
        <v>65</v>
      </c>
      <c r="D584" t="s">
        <v>38</v>
      </c>
      <c r="E584" t="s">
        <v>90</v>
      </c>
      <c r="F584" t="s">
        <v>17</v>
      </c>
      <c r="G584" t="s">
        <v>45</v>
      </c>
      <c r="H584" s="1">
        <v>45508</v>
      </c>
      <c r="I584" s="1">
        <v>45508</v>
      </c>
      <c r="J584">
        <f>Sheet1[[#This Row],[Close Date]]-Sheet1[[#This Row],[Open Date]]</f>
        <v>0</v>
      </c>
      <c r="K584" t="str">
        <f>IF(Sheet1[[#This Row],[Actual Days]]&gt;=1,"Not Met","Met")</f>
        <v>Met</v>
      </c>
      <c r="L584" t="str">
        <f>TEXT(Sheet1[[#This Row],[Open Date]],"mmm")</f>
        <v>Aug</v>
      </c>
    </row>
    <row r="585" spans="1:12" x14ac:dyDescent="0.3">
      <c r="A585" t="s">
        <v>845</v>
      </c>
      <c r="B585" t="s">
        <v>30</v>
      </c>
      <c r="C585" t="s">
        <v>51</v>
      </c>
      <c r="D585" t="s">
        <v>38</v>
      </c>
      <c r="E585" t="s">
        <v>92</v>
      </c>
      <c r="F585" t="s">
        <v>40</v>
      </c>
      <c r="G585" t="s">
        <v>18</v>
      </c>
      <c r="H585" s="1">
        <v>45511</v>
      </c>
      <c r="I585" s="1">
        <v>45511</v>
      </c>
      <c r="J585">
        <f>Sheet1[[#This Row],[Close Date]]-Sheet1[[#This Row],[Open Date]]</f>
        <v>0</v>
      </c>
      <c r="K585" t="str">
        <f>IF(Sheet1[[#This Row],[Actual Days]]&gt;=1,"Not Met","Met")</f>
        <v>Met</v>
      </c>
      <c r="L585" t="str">
        <f>TEXT(Sheet1[[#This Row],[Open Date]],"mmm")</f>
        <v>Aug</v>
      </c>
    </row>
    <row r="586" spans="1:12" x14ac:dyDescent="0.3">
      <c r="A586" t="s">
        <v>846</v>
      </c>
      <c r="B586" t="s">
        <v>36</v>
      </c>
      <c r="C586" t="s">
        <v>37</v>
      </c>
      <c r="D586" t="s">
        <v>94</v>
      </c>
      <c r="E586" t="s">
        <v>95</v>
      </c>
      <c r="F586" t="s">
        <v>40</v>
      </c>
      <c r="G586" t="s">
        <v>18</v>
      </c>
      <c r="H586" s="1">
        <v>45483</v>
      </c>
      <c r="I586" s="1">
        <v>45483</v>
      </c>
      <c r="J586">
        <f>Sheet1[[#This Row],[Close Date]]-Sheet1[[#This Row],[Open Date]]</f>
        <v>0</v>
      </c>
      <c r="K586" t="str">
        <f>IF(Sheet1[[#This Row],[Actual Days]]&gt;=1,"Not Met","Met")</f>
        <v>Met</v>
      </c>
      <c r="L586" t="str">
        <f>TEXT(Sheet1[[#This Row],[Open Date]],"mmm")</f>
        <v>Jul</v>
      </c>
    </row>
    <row r="587" spans="1:12" x14ac:dyDescent="0.3">
      <c r="A587" t="s">
        <v>847</v>
      </c>
      <c r="B587" t="s">
        <v>36</v>
      </c>
      <c r="C587" t="s">
        <v>76</v>
      </c>
      <c r="D587" t="s">
        <v>38</v>
      </c>
      <c r="E587" t="s">
        <v>97</v>
      </c>
      <c r="F587" t="s">
        <v>26</v>
      </c>
      <c r="G587" t="s">
        <v>59</v>
      </c>
      <c r="H587" s="1">
        <v>45597</v>
      </c>
      <c r="I587" s="1">
        <v>45598</v>
      </c>
      <c r="J587">
        <f>Sheet1[[#This Row],[Close Date]]-Sheet1[[#This Row],[Open Date]]</f>
        <v>1</v>
      </c>
      <c r="K587" t="str">
        <f>IF(Sheet1[[#This Row],[Actual Days]]&gt;=1,"Not Met","Met")</f>
        <v>Not Met</v>
      </c>
      <c r="L587" t="str">
        <f>TEXT(Sheet1[[#This Row],[Open Date]],"mmm")</f>
        <v>Nov</v>
      </c>
    </row>
    <row r="588" spans="1:12" x14ac:dyDescent="0.3">
      <c r="A588" t="s">
        <v>848</v>
      </c>
      <c r="B588" t="s">
        <v>13</v>
      </c>
      <c r="C588" t="s">
        <v>14</v>
      </c>
      <c r="D588" t="s">
        <v>15</v>
      </c>
      <c r="E588" t="s">
        <v>99</v>
      </c>
      <c r="F588" t="s">
        <v>17</v>
      </c>
      <c r="G588" t="s">
        <v>34</v>
      </c>
      <c r="H588" s="1">
        <v>45561</v>
      </c>
      <c r="I588" s="1">
        <v>45562</v>
      </c>
      <c r="J588">
        <f>Sheet1[[#This Row],[Close Date]]-Sheet1[[#This Row],[Open Date]]</f>
        <v>1</v>
      </c>
      <c r="K588" t="str">
        <f>IF(Sheet1[[#This Row],[Actual Days]]&gt;=1,"Not Met","Met")</f>
        <v>Not Met</v>
      </c>
      <c r="L588" t="str">
        <f>TEXT(Sheet1[[#This Row],[Open Date]],"mmm")</f>
        <v>Sep</v>
      </c>
    </row>
    <row r="589" spans="1:12" x14ac:dyDescent="0.3">
      <c r="A589" t="s">
        <v>849</v>
      </c>
      <c r="B589" t="s">
        <v>22</v>
      </c>
      <c r="C589" t="s">
        <v>101</v>
      </c>
      <c r="D589" t="s">
        <v>73</v>
      </c>
      <c r="E589" t="s">
        <v>102</v>
      </c>
      <c r="F589" t="s">
        <v>26</v>
      </c>
      <c r="G589" t="s">
        <v>27</v>
      </c>
      <c r="H589" s="1">
        <v>45504</v>
      </c>
      <c r="I589" s="1">
        <v>45504</v>
      </c>
      <c r="J589">
        <f>Sheet1[[#This Row],[Close Date]]-Sheet1[[#This Row],[Open Date]]</f>
        <v>0</v>
      </c>
      <c r="K589" t="str">
        <f>IF(Sheet1[[#This Row],[Actual Days]]&gt;=1,"Not Met","Met")</f>
        <v>Met</v>
      </c>
      <c r="L589" t="str">
        <f>TEXT(Sheet1[[#This Row],[Open Date]],"mmm")</f>
        <v>Jul</v>
      </c>
    </row>
    <row r="590" spans="1:12" x14ac:dyDescent="0.3">
      <c r="A590" t="s">
        <v>850</v>
      </c>
      <c r="B590" t="s">
        <v>42</v>
      </c>
      <c r="C590" t="s">
        <v>104</v>
      </c>
      <c r="D590" t="s">
        <v>24</v>
      </c>
      <c r="E590" t="s">
        <v>105</v>
      </c>
      <c r="F590" t="s">
        <v>40</v>
      </c>
      <c r="G590" t="s">
        <v>59</v>
      </c>
      <c r="H590" s="1">
        <v>45575</v>
      </c>
      <c r="I590" s="1">
        <v>45575</v>
      </c>
      <c r="J590">
        <f>Sheet1[[#This Row],[Close Date]]-Sheet1[[#This Row],[Open Date]]</f>
        <v>0</v>
      </c>
      <c r="K590" t="str">
        <f>IF(Sheet1[[#This Row],[Actual Days]]&gt;=1,"Not Met","Met")</f>
        <v>Met</v>
      </c>
      <c r="L590" t="str">
        <f>TEXT(Sheet1[[#This Row],[Open Date]],"mmm")</f>
        <v>Oct</v>
      </c>
    </row>
    <row r="591" spans="1:12" x14ac:dyDescent="0.3">
      <c r="A591" t="s">
        <v>851</v>
      </c>
      <c r="B591" t="s">
        <v>42</v>
      </c>
      <c r="C591" t="s">
        <v>107</v>
      </c>
      <c r="D591" t="s">
        <v>24</v>
      </c>
      <c r="E591" t="s">
        <v>108</v>
      </c>
      <c r="F591" t="s">
        <v>26</v>
      </c>
      <c r="G591" t="s">
        <v>34</v>
      </c>
      <c r="H591" s="1">
        <v>45497</v>
      </c>
      <c r="I591" s="1">
        <v>45497</v>
      </c>
      <c r="J591">
        <f>Sheet1[[#This Row],[Close Date]]-Sheet1[[#This Row],[Open Date]]</f>
        <v>0</v>
      </c>
      <c r="K591" t="str">
        <f>IF(Sheet1[[#This Row],[Actual Days]]&gt;=1,"Not Met","Met")</f>
        <v>Met</v>
      </c>
      <c r="L591" t="str">
        <f>TEXT(Sheet1[[#This Row],[Open Date]],"mmm")</f>
        <v>Jul</v>
      </c>
    </row>
    <row r="592" spans="1:12" x14ac:dyDescent="0.3">
      <c r="A592" t="s">
        <v>852</v>
      </c>
      <c r="B592" t="s">
        <v>22</v>
      </c>
      <c r="C592" t="s">
        <v>23</v>
      </c>
      <c r="D592" t="s">
        <v>24</v>
      </c>
      <c r="E592" t="s">
        <v>110</v>
      </c>
      <c r="F592" t="s">
        <v>17</v>
      </c>
      <c r="G592" t="s">
        <v>45</v>
      </c>
      <c r="H592" s="1">
        <v>45483</v>
      </c>
      <c r="I592" s="1">
        <v>45483</v>
      </c>
      <c r="J592">
        <f>Sheet1[[#This Row],[Close Date]]-Sheet1[[#This Row],[Open Date]]</f>
        <v>0</v>
      </c>
      <c r="K592" t="str">
        <f>IF(Sheet1[[#This Row],[Actual Days]]&gt;=1,"Not Met","Met")</f>
        <v>Met</v>
      </c>
      <c r="L592" t="str">
        <f>TEXT(Sheet1[[#This Row],[Open Date]],"mmm")</f>
        <v>Jul</v>
      </c>
    </row>
    <row r="593" spans="1:12" x14ac:dyDescent="0.3">
      <c r="A593" t="s">
        <v>853</v>
      </c>
      <c r="B593" t="s">
        <v>22</v>
      </c>
      <c r="C593" t="s">
        <v>84</v>
      </c>
      <c r="D593" t="s">
        <v>32</v>
      </c>
      <c r="E593" t="s">
        <v>112</v>
      </c>
      <c r="F593" t="s">
        <v>40</v>
      </c>
      <c r="G593" t="s">
        <v>49</v>
      </c>
      <c r="H593" s="1">
        <v>45496</v>
      </c>
      <c r="I593" s="1">
        <v>45496</v>
      </c>
      <c r="J593">
        <f>Sheet1[[#This Row],[Close Date]]-Sheet1[[#This Row],[Open Date]]</f>
        <v>0</v>
      </c>
      <c r="K593" t="str">
        <f>IF(Sheet1[[#This Row],[Actual Days]]&gt;=1,"Not Met","Met")</f>
        <v>Met</v>
      </c>
      <c r="L593" t="str">
        <f>TEXT(Sheet1[[#This Row],[Open Date]],"mmm")</f>
        <v>Jul</v>
      </c>
    </row>
    <row r="594" spans="1:12" x14ac:dyDescent="0.3">
      <c r="A594" t="s">
        <v>854</v>
      </c>
      <c r="B594" t="s">
        <v>13</v>
      </c>
      <c r="C594" t="s">
        <v>14</v>
      </c>
      <c r="D594" t="s">
        <v>38</v>
      </c>
      <c r="E594" t="s">
        <v>114</v>
      </c>
      <c r="F594" t="s">
        <v>17</v>
      </c>
      <c r="G594" t="s">
        <v>27</v>
      </c>
      <c r="H594" s="1">
        <v>45504</v>
      </c>
      <c r="I594" s="1">
        <v>45504</v>
      </c>
      <c r="J594">
        <f>Sheet1[[#This Row],[Close Date]]-Sheet1[[#This Row],[Open Date]]</f>
        <v>0</v>
      </c>
      <c r="K594" t="str">
        <f>IF(Sheet1[[#This Row],[Actual Days]]&gt;=1,"Not Met","Met")</f>
        <v>Met</v>
      </c>
      <c r="L594" t="str">
        <f>TEXT(Sheet1[[#This Row],[Open Date]],"mmm")</f>
        <v>Jul</v>
      </c>
    </row>
    <row r="595" spans="1:12" x14ac:dyDescent="0.3">
      <c r="A595" t="s">
        <v>855</v>
      </c>
      <c r="B595" t="s">
        <v>30</v>
      </c>
      <c r="C595" t="s">
        <v>51</v>
      </c>
      <c r="D595" t="s">
        <v>38</v>
      </c>
      <c r="E595" t="s">
        <v>116</v>
      </c>
      <c r="F595" t="s">
        <v>40</v>
      </c>
      <c r="G595" t="s">
        <v>34</v>
      </c>
      <c r="H595" s="1">
        <v>45614</v>
      </c>
      <c r="I595" s="1">
        <v>45615</v>
      </c>
      <c r="J595">
        <f>Sheet1[[#This Row],[Close Date]]-Sheet1[[#This Row],[Open Date]]</f>
        <v>1</v>
      </c>
      <c r="K595" t="str">
        <f>IF(Sheet1[[#This Row],[Actual Days]]&gt;=1,"Not Met","Met")</f>
        <v>Not Met</v>
      </c>
      <c r="L595" t="str">
        <f>TEXT(Sheet1[[#This Row],[Open Date]],"mmm")</f>
        <v>Nov</v>
      </c>
    </row>
    <row r="596" spans="1:12" x14ac:dyDescent="0.3">
      <c r="A596" t="s">
        <v>856</v>
      </c>
      <c r="B596" t="s">
        <v>13</v>
      </c>
      <c r="C596" t="s">
        <v>14</v>
      </c>
      <c r="D596" t="s">
        <v>87</v>
      </c>
      <c r="E596" t="s">
        <v>118</v>
      </c>
      <c r="F596" t="s">
        <v>26</v>
      </c>
      <c r="G596" t="s">
        <v>27</v>
      </c>
      <c r="H596" s="1">
        <v>45512</v>
      </c>
      <c r="I596" s="1">
        <v>45512</v>
      </c>
      <c r="J596">
        <f>Sheet1[[#This Row],[Close Date]]-Sheet1[[#This Row],[Open Date]]</f>
        <v>0</v>
      </c>
      <c r="K596" t="str">
        <f>IF(Sheet1[[#This Row],[Actual Days]]&gt;=1,"Not Met","Met")</f>
        <v>Met</v>
      </c>
      <c r="L596" t="str">
        <f>TEXT(Sheet1[[#This Row],[Open Date]],"mmm")</f>
        <v>Aug</v>
      </c>
    </row>
    <row r="597" spans="1:12" x14ac:dyDescent="0.3">
      <c r="A597" t="s">
        <v>857</v>
      </c>
      <c r="B597" t="s">
        <v>13</v>
      </c>
      <c r="C597" t="s">
        <v>68</v>
      </c>
      <c r="D597" t="s">
        <v>73</v>
      </c>
      <c r="E597" t="s">
        <v>120</v>
      </c>
      <c r="F597" t="s">
        <v>26</v>
      </c>
      <c r="G597" t="s">
        <v>45</v>
      </c>
      <c r="H597" s="1">
        <v>45486</v>
      </c>
      <c r="I597" s="1">
        <v>45486</v>
      </c>
      <c r="J597">
        <f>Sheet1[[#This Row],[Close Date]]-Sheet1[[#This Row],[Open Date]]</f>
        <v>0</v>
      </c>
      <c r="K597" t="str">
        <f>IF(Sheet1[[#This Row],[Actual Days]]&gt;=1,"Not Met","Met")</f>
        <v>Met</v>
      </c>
      <c r="L597" t="str">
        <f>TEXT(Sheet1[[#This Row],[Open Date]],"mmm")</f>
        <v>Jul</v>
      </c>
    </row>
    <row r="598" spans="1:12" x14ac:dyDescent="0.3">
      <c r="A598" t="s">
        <v>858</v>
      </c>
      <c r="B598" t="s">
        <v>36</v>
      </c>
      <c r="C598" t="s">
        <v>37</v>
      </c>
      <c r="D598" t="s">
        <v>15</v>
      </c>
      <c r="E598" t="s">
        <v>122</v>
      </c>
      <c r="F598" t="s">
        <v>26</v>
      </c>
      <c r="G598" t="s">
        <v>45</v>
      </c>
      <c r="H598" s="1">
        <v>45590</v>
      </c>
      <c r="I598" s="1">
        <v>45591</v>
      </c>
      <c r="J598">
        <f>Sheet1[[#This Row],[Close Date]]-Sheet1[[#This Row],[Open Date]]</f>
        <v>1</v>
      </c>
      <c r="K598" t="str">
        <f>IF(Sheet1[[#This Row],[Actual Days]]&gt;=1,"Not Met","Met")</f>
        <v>Not Met</v>
      </c>
      <c r="L598" t="str">
        <f>TEXT(Sheet1[[#This Row],[Open Date]],"mmm")</f>
        <v>Oct</v>
      </c>
    </row>
    <row r="599" spans="1:12" x14ac:dyDescent="0.3">
      <c r="A599" t="s">
        <v>859</v>
      </c>
      <c r="B599" t="s">
        <v>13</v>
      </c>
      <c r="C599" t="s">
        <v>65</v>
      </c>
      <c r="D599" t="s">
        <v>87</v>
      </c>
      <c r="E599" t="s">
        <v>124</v>
      </c>
      <c r="F599" t="s">
        <v>40</v>
      </c>
      <c r="G599" t="s">
        <v>27</v>
      </c>
      <c r="H599" s="1">
        <v>45501</v>
      </c>
      <c r="I599" s="1">
        <v>45501</v>
      </c>
      <c r="J599">
        <f>Sheet1[[#This Row],[Close Date]]-Sheet1[[#This Row],[Open Date]]</f>
        <v>0</v>
      </c>
      <c r="K599" t="str">
        <f>IF(Sheet1[[#This Row],[Actual Days]]&gt;=1,"Not Met","Met")</f>
        <v>Met</v>
      </c>
      <c r="L599" t="str">
        <f>TEXT(Sheet1[[#This Row],[Open Date]],"mmm")</f>
        <v>Jul</v>
      </c>
    </row>
    <row r="600" spans="1:12" x14ac:dyDescent="0.3">
      <c r="A600" t="s">
        <v>860</v>
      </c>
      <c r="B600" t="s">
        <v>36</v>
      </c>
      <c r="C600" t="s">
        <v>76</v>
      </c>
      <c r="D600" t="s">
        <v>94</v>
      </c>
      <c r="E600" t="s">
        <v>126</v>
      </c>
      <c r="F600" t="s">
        <v>17</v>
      </c>
      <c r="G600" t="s">
        <v>49</v>
      </c>
      <c r="H600" s="1">
        <v>45542</v>
      </c>
      <c r="I600" s="1">
        <v>45542</v>
      </c>
      <c r="J600">
        <f>Sheet1[[#This Row],[Close Date]]-Sheet1[[#This Row],[Open Date]]</f>
        <v>0</v>
      </c>
      <c r="K600" t="str">
        <f>IF(Sheet1[[#This Row],[Actual Days]]&gt;=1,"Not Met","Met")</f>
        <v>Met</v>
      </c>
      <c r="L600" t="str">
        <f>TEXT(Sheet1[[#This Row],[Open Date]],"mmm")</f>
        <v>Sep</v>
      </c>
    </row>
    <row r="601" spans="1:12" x14ac:dyDescent="0.3">
      <c r="A601" t="s">
        <v>861</v>
      </c>
      <c r="B601" t="s">
        <v>13</v>
      </c>
      <c r="C601" t="s">
        <v>14</v>
      </c>
      <c r="D601" t="s">
        <v>38</v>
      </c>
      <c r="E601" t="s">
        <v>128</v>
      </c>
      <c r="F601" t="s">
        <v>40</v>
      </c>
      <c r="G601" t="s">
        <v>45</v>
      </c>
      <c r="H601" s="1">
        <v>45632</v>
      </c>
      <c r="I601" s="1">
        <v>45632</v>
      </c>
      <c r="J601">
        <f>Sheet1[[#This Row],[Close Date]]-Sheet1[[#This Row],[Open Date]]</f>
        <v>0</v>
      </c>
      <c r="K601" t="str">
        <f>IF(Sheet1[[#This Row],[Actual Days]]&gt;=1,"Not Met","Met")</f>
        <v>Met</v>
      </c>
      <c r="L601" t="str">
        <f>TEXT(Sheet1[[#This Row],[Open Date]],"mmm")</f>
        <v>Dec</v>
      </c>
    </row>
    <row r="602" spans="1:12" x14ac:dyDescent="0.3">
      <c r="A602" t="s">
        <v>862</v>
      </c>
      <c r="B602" t="s">
        <v>22</v>
      </c>
      <c r="C602" t="s">
        <v>84</v>
      </c>
      <c r="D602" t="s">
        <v>15</v>
      </c>
      <c r="E602" t="s">
        <v>130</v>
      </c>
      <c r="F602" t="s">
        <v>17</v>
      </c>
      <c r="G602" t="s">
        <v>34</v>
      </c>
      <c r="H602" s="1">
        <v>45598</v>
      </c>
      <c r="I602" s="1">
        <v>45598</v>
      </c>
      <c r="J602">
        <f>Sheet1[[#This Row],[Close Date]]-Sheet1[[#This Row],[Open Date]]</f>
        <v>0</v>
      </c>
      <c r="K602" t="str">
        <f>IF(Sheet1[[#This Row],[Actual Days]]&gt;=1,"Not Met","Met")</f>
        <v>Met</v>
      </c>
      <c r="L602" t="str">
        <f>TEXT(Sheet1[[#This Row],[Open Date]],"mmm")</f>
        <v>Nov</v>
      </c>
    </row>
    <row r="603" spans="1:12" x14ac:dyDescent="0.3">
      <c r="A603" t="s">
        <v>863</v>
      </c>
      <c r="B603" t="s">
        <v>22</v>
      </c>
      <c r="C603" t="s">
        <v>84</v>
      </c>
      <c r="D603" t="s">
        <v>24</v>
      </c>
      <c r="E603" t="s">
        <v>132</v>
      </c>
      <c r="F603" t="s">
        <v>40</v>
      </c>
      <c r="G603" t="s">
        <v>27</v>
      </c>
      <c r="H603" s="1">
        <v>45508</v>
      </c>
      <c r="I603" s="1">
        <v>45508</v>
      </c>
      <c r="J603">
        <f>Sheet1[[#This Row],[Close Date]]-Sheet1[[#This Row],[Open Date]]</f>
        <v>0</v>
      </c>
      <c r="K603" t="str">
        <f>IF(Sheet1[[#This Row],[Actual Days]]&gt;=1,"Not Met","Met")</f>
        <v>Met</v>
      </c>
      <c r="L603" t="str">
        <f>TEXT(Sheet1[[#This Row],[Open Date]],"mmm")</f>
        <v>Aug</v>
      </c>
    </row>
    <row r="604" spans="1:12" x14ac:dyDescent="0.3">
      <c r="A604" t="s">
        <v>864</v>
      </c>
      <c r="B604" t="s">
        <v>13</v>
      </c>
      <c r="C604" t="s">
        <v>65</v>
      </c>
      <c r="D604" t="s">
        <v>73</v>
      </c>
      <c r="E604" t="s">
        <v>134</v>
      </c>
      <c r="F604" t="s">
        <v>17</v>
      </c>
      <c r="G604" t="s">
        <v>18</v>
      </c>
      <c r="H604" s="1">
        <v>45527</v>
      </c>
      <c r="I604" s="1">
        <v>45527</v>
      </c>
      <c r="J604">
        <f>Sheet1[[#This Row],[Close Date]]-Sheet1[[#This Row],[Open Date]]</f>
        <v>0</v>
      </c>
      <c r="K604" t="str">
        <f>IF(Sheet1[[#This Row],[Actual Days]]&gt;=1,"Not Met","Met")</f>
        <v>Met</v>
      </c>
      <c r="L604" t="str">
        <f>TEXT(Sheet1[[#This Row],[Open Date]],"mmm")</f>
        <v>Aug</v>
      </c>
    </row>
    <row r="605" spans="1:12" x14ac:dyDescent="0.3">
      <c r="A605" t="s">
        <v>865</v>
      </c>
      <c r="B605" t="s">
        <v>42</v>
      </c>
      <c r="C605" t="s">
        <v>107</v>
      </c>
      <c r="D605" t="s">
        <v>32</v>
      </c>
      <c r="E605" t="s">
        <v>136</v>
      </c>
      <c r="F605" t="s">
        <v>40</v>
      </c>
      <c r="G605" t="s">
        <v>27</v>
      </c>
      <c r="H605" s="1">
        <v>45543</v>
      </c>
      <c r="I605" s="1">
        <v>45544</v>
      </c>
      <c r="J605">
        <f>Sheet1[[#This Row],[Close Date]]-Sheet1[[#This Row],[Open Date]]</f>
        <v>1</v>
      </c>
      <c r="K605" t="str">
        <f>IF(Sheet1[[#This Row],[Actual Days]]&gt;=1,"Not Met","Met")</f>
        <v>Not Met</v>
      </c>
      <c r="L605" t="str">
        <f>TEXT(Sheet1[[#This Row],[Open Date]],"mmm")</f>
        <v>Sep</v>
      </c>
    </row>
    <row r="606" spans="1:12" x14ac:dyDescent="0.3">
      <c r="A606" t="s">
        <v>866</v>
      </c>
      <c r="B606" t="s">
        <v>42</v>
      </c>
      <c r="C606" t="s">
        <v>107</v>
      </c>
      <c r="D606" t="s">
        <v>38</v>
      </c>
      <c r="E606" t="s">
        <v>138</v>
      </c>
      <c r="F606" t="s">
        <v>26</v>
      </c>
      <c r="G606" t="s">
        <v>27</v>
      </c>
      <c r="H606" s="1">
        <v>45580</v>
      </c>
      <c r="I606" s="1">
        <v>45580</v>
      </c>
      <c r="J606">
        <f>Sheet1[[#This Row],[Close Date]]-Sheet1[[#This Row],[Open Date]]</f>
        <v>0</v>
      </c>
      <c r="K606" t="str">
        <f>IF(Sheet1[[#This Row],[Actual Days]]&gt;=1,"Not Met","Met")</f>
        <v>Met</v>
      </c>
      <c r="L606" t="str">
        <f>TEXT(Sheet1[[#This Row],[Open Date]],"mmm")</f>
        <v>Oct</v>
      </c>
    </row>
    <row r="607" spans="1:12" x14ac:dyDescent="0.3">
      <c r="A607" t="s">
        <v>867</v>
      </c>
      <c r="B607" t="s">
        <v>13</v>
      </c>
      <c r="C607" t="s">
        <v>14</v>
      </c>
      <c r="D607" t="s">
        <v>32</v>
      </c>
      <c r="E607" t="s">
        <v>140</v>
      </c>
      <c r="F607" t="s">
        <v>40</v>
      </c>
      <c r="G607" t="s">
        <v>18</v>
      </c>
      <c r="H607" s="1">
        <v>45577</v>
      </c>
      <c r="I607" s="1">
        <v>45577</v>
      </c>
      <c r="J607">
        <f>Sheet1[[#This Row],[Close Date]]-Sheet1[[#This Row],[Open Date]]</f>
        <v>0</v>
      </c>
      <c r="K607" t="str">
        <f>IF(Sheet1[[#This Row],[Actual Days]]&gt;=1,"Not Met","Met")</f>
        <v>Met</v>
      </c>
      <c r="L607" t="str">
        <f>TEXT(Sheet1[[#This Row],[Open Date]],"mmm")</f>
        <v>Oct</v>
      </c>
    </row>
    <row r="608" spans="1:12" x14ac:dyDescent="0.3">
      <c r="A608" t="s">
        <v>868</v>
      </c>
      <c r="B608" t="s">
        <v>22</v>
      </c>
      <c r="C608" t="s">
        <v>23</v>
      </c>
      <c r="D608" t="s">
        <v>38</v>
      </c>
      <c r="E608" t="s">
        <v>142</v>
      </c>
      <c r="F608" t="s">
        <v>26</v>
      </c>
      <c r="G608" t="s">
        <v>49</v>
      </c>
      <c r="H608" s="1">
        <v>45618</v>
      </c>
      <c r="I608" s="1">
        <v>45619</v>
      </c>
      <c r="J608">
        <f>Sheet1[[#This Row],[Close Date]]-Sheet1[[#This Row],[Open Date]]</f>
        <v>1</v>
      </c>
      <c r="K608" t="str">
        <f>IF(Sheet1[[#This Row],[Actual Days]]&gt;=1,"Not Met","Met")</f>
        <v>Not Met</v>
      </c>
      <c r="L608" t="str">
        <f>TEXT(Sheet1[[#This Row],[Open Date]],"mmm")</f>
        <v>Nov</v>
      </c>
    </row>
    <row r="609" spans="1:12" x14ac:dyDescent="0.3">
      <c r="A609" t="s">
        <v>869</v>
      </c>
      <c r="B609" t="s">
        <v>30</v>
      </c>
      <c r="C609" t="s">
        <v>31</v>
      </c>
      <c r="D609" t="s">
        <v>32</v>
      </c>
      <c r="E609" t="s">
        <v>144</v>
      </c>
      <c r="F609" t="s">
        <v>40</v>
      </c>
      <c r="G609" t="s">
        <v>45</v>
      </c>
      <c r="H609" s="1">
        <v>45503</v>
      </c>
      <c r="I609" s="1">
        <v>45503</v>
      </c>
      <c r="J609">
        <f>Sheet1[[#This Row],[Close Date]]-Sheet1[[#This Row],[Open Date]]</f>
        <v>0</v>
      </c>
      <c r="K609" t="str">
        <f>IF(Sheet1[[#This Row],[Actual Days]]&gt;=1,"Not Met","Met")</f>
        <v>Met</v>
      </c>
      <c r="L609" t="str">
        <f>TEXT(Sheet1[[#This Row],[Open Date]],"mmm")</f>
        <v>Jul</v>
      </c>
    </row>
    <row r="610" spans="1:12" x14ac:dyDescent="0.3">
      <c r="A610" t="s">
        <v>870</v>
      </c>
      <c r="B610" t="s">
        <v>30</v>
      </c>
      <c r="C610" t="s">
        <v>31</v>
      </c>
      <c r="D610" t="s">
        <v>24</v>
      </c>
      <c r="E610" t="s">
        <v>146</v>
      </c>
      <c r="F610" t="s">
        <v>40</v>
      </c>
      <c r="G610" t="s">
        <v>27</v>
      </c>
      <c r="H610" s="1">
        <v>45602</v>
      </c>
      <c r="I610" s="1">
        <v>45603</v>
      </c>
      <c r="J610">
        <f>Sheet1[[#This Row],[Close Date]]-Sheet1[[#This Row],[Open Date]]</f>
        <v>1</v>
      </c>
      <c r="K610" t="str">
        <f>IF(Sheet1[[#This Row],[Actual Days]]&gt;=1,"Not Met","Met")</f>
        <v>Not Met</v>
      </c>
      <c r="L610" t="str">
        <f>TEXT(Sheet1[[#This Row],[Open Date]],"mmm")</f>
        <v>Nov</v>
      </c>
    </row>
    <row r="611" spans="1:12" x14ac:dyDescent="0.3">
      <c r="A611" t="s">
        <v>871</v>
      </c>
      <c r="B611" t="s">
        <v>13</v>
      </c>
      <c r="C611" t="s">
        <v>14</v>
      </c>
      <c r="D611" t="s">
        <v>38</v>
      </c>
      <c r="E611" t="s">
        <v>148</v>
      </c>
      <c r="F611" t="s">
        <v>17</v>
      </c>
      <c r="G611" t="s">
        <v>18</v>
      </c>
      <c r="H611" s="1">
        <v>45623</v>
      </c>
      <c r="I611" s="1">
        <v>45623</v>
      </c>
      <c r="J611">
        <f>Sheet1[[#This Row],[Close Date]]-Sheet1[[#This Row],[Open Date]]</f>
        <v>0</v>
      </c>
      <c r="K611" t="str">
        <f>IF(Sheet1[[#This Row],[Actual Days]]&gt;=1,"Not Met","Met")</f>
        <v>Met</v>
      </c>
      <c r="L611" t="str">
        <f>TEXT(Sheet1[[#This Row],[Open Date]],"mmm")</f>
        <v>Nov</v>
      </c>
    </row>
    <row r="612" spans="1:12" x14ac:dyDescent="0.3">
      <c r="A612" t="s">
        <v>872</v>
      </c>
      <c r="B612" t="s">
        <v>13</v>
      </c>
      <c r="C612" t="s">
        <v>14</v>
      </c>
      <c r="D612" t="s">
        <v>38</v>
      </c>
      <c r="E612" t="s">
        <v>150</v>
      </c>
      <c r="F612" t="s">
        <v>40</v>
      </c>
      <c r="G612" t="s">
        <v>49</v>
      </c>
      <c r="H612" s="1">
        <v>45556</v>
      </c>
      <c r="I612" s="1">
        <v>45556</v>
      </c>
      <c r="J612">
        <f>Sheet1[[#This Row],[Close Date]]-Sheet1[[#This Row],[Open Date]]</f>
        <v>0</v>
      </c>
      <c r="K612" t="str">
        <f>IF(Sheet1[[#This Row],[Actual Days]]&gt;=1,"Not Met","Met")</f>
        <v>Met</v>
      </c>
      <c r="L612" t="str">
        <f>TEXT(Sheet1[[#This Row],[Open Date]],"mmm")</f>
        <v>Sep</v>
      </c>
    </row>
    <row r="613" spans="1:12" x14ac:dyDescent="0.3">
      <c r="A613" t="s">
        <v>873</v>
      </c>
      <c r="B613" t="s">
        <v>42</v>
      </c>
      <c r="C613" t="s">
        <v>104</v>
      </c>
      <c r="D613" t="s">
        <v>87</v>
      </c>
      <c r="E613" t="s">
        <v>152</v>
      </c>
      <c r="F613" t="s">
        <v>40</v>
      </c>
      <c r="G613" t="s">
        <v>34</v>
      </c>
      <c r="H613" s="1">
        <v>45653</v>
      </c>
      <c r="I613" s="1">
        <v>45653</v>
      </c>
      <c r="J613">
        <f>Sheet1[[#This Row],[Close Date]]-Sheet1[[#This Row],[Open Date]]</f>
        <v>0</v>
      </c>
      <c r="K613" t="str">
        <f>IF(Sheet1[[#This Row],[Actual Days]]&gt;=1,"Not Met","Met")</f>
        <v>Met</v>
      </c>
      <c r="L613" t="str">
        <f>TEXT(Sheet1[[#This Row],[Open Date]],"mmm")</f>
        <v>Dec</v>
      </c>
    </row>
    <row r="614" spans="1:12" x14ac:dyDescent="0.3">
      <c r="A614" t="s">
        <v>874</v>
      </c>
      <c r="B614" t="s">
        <v>42</v>
      </c>
      <c r="C614" t="s">
        <v>43</v>
      </c>
      <c r="D614" t="s">
        <v>32</v>
      </c>
      <c r="E614" t="s">
        <v>154</v>
      </c>
      <c r="F614" t="s">
        <v>40</v>
      </c>
      <c r="G614" t="s">
        <v>34</v>
      </c>
      <c r="H614" s="1">
        <v>45573</v>
      </c>
      <c r="I614" s="1">
        <v>45573</v>
      </c>
      <c r="J614">
        <f>Sheet1[[#This Row],[Close Date]]-Sheet1[[#This Row],[Open Date]]</f>
        <v>0</v>
      </c>
      <c r="K614" t="str">
        <f>IF(Sheet1[[#This Row],[Actual Days]]&gt;=1,"Not Met","Met")</f>
        <v>Met</v>
      </c>
      <c r="L614" t="str">
        <f>TEXT(Sheet1[[#This Row],[Open Date]],"mmm")</f>
        <v>Oct</v>
      </c>
    </row>
    <row r="615" spans="1:12" x14ac:dyDescent="0.3">
      <c r="A615" t="s">
        <v>875</v>
      </c>
      <c r="B615" t="s">
        <v>42</v>
      </c>
      <c r="C615" t="s">
        <v>107</v>
      </c>
      <c r="D615" t="s">
        <v>156</v>
      </c>
      <c r="E615" t="s">
        <v>157</v>
      </c>
      <c r="F615" t="s">
        <v>40</v>
      </c>
      <c r="G615" t="s">
        <v>18</v>
      </c>
      <c r="H615" s="1">
        <v>45474</v>
      </c>
      <c r="I615" s="1">
        <v>45474</v>
      </c>
      <c r="J615">
        <f>Sheet1[[#This Row],[Close Date]]-Sheet1[[#This Row],[Open Date]]</f>
        <v>0</v>
      </c>
      <c r="K615" t="str">
        <f>IF(Sheet1[[#This Row],[Actual Days]]&gt;=1,"Not Met","Met")</f>
        <v>Met</v>
      </c>
      <c r="L615" t="str">
        <f>TEXT(Sheet1[[#This Row],[Open Date]],"mmm")</f>
        <v>Jul</v>
      </c>
    </row>
    <row r="616" spans="1:12" x14ac:dyDescent="0.3">
      <c r="A616" t="s">
        <v>876</v>
      </c>
      <c r="B616" t="s">
        <v>13</v>
      </c>
      <c r="C616" t="s">
        <v>14</v>
      </c>
      <c r="D616" t="s">
        <v>94</v>
      </c>
      <c r="E616" t="s">
        <v>159</v>
      </c>
      <c r="F616" t="s">
        <v>17</v>
      </c>
      <c r="G616" t="s">
        <v>49</v>
      </c>
      <c r="H616" s="1">
        <v>45635</v>
      </c>
      <c r="I616" s="1">
        <v>45635</v>
      </c>
      <c r="J616">
        <f>Sheet1[[#This Row],[Close Date]]-Sheet1[[#This Row],[Open Date]]</f>
        <v>0</v>
      </c>
      <c r="K616" t="str">
        <f>IF(Sheet1[[#This Row],[Actual Days]]&gt;=1,"Not Met","Met")</f>
        <v>Met</v>
      </c>
      <c r="L616" t="str">
        <f>TEXT(Sheet1[[#This Row],[Open Date]],"mmm")</f>
        <v>Dec</v>
      </c>
    </row>
    <row r="617" spans="1:12" x14ac:dyDescent="0.3">
      <c r="A617" t="s">
        <v>877</v>
      </c>
      <c r="B617" t="s">
        <v>30</v>
      </c>
      <c r="C617" t="s">
        <v>161</v>
      </c>
      <c r="D617" t="s">
        <v>24</v>
      </c>
      <c r="E617" t="s">
        <v>162</v>
      </c>
      <c r="F617" t="s">
        <v>17</v>
      </c>
      <c r="G617" t="s">
        <v>45</v>
      </c>
      <c r="H617" s="1">
        <v>45607</v>
      </c>
      <c r="I617" s="1">
        <v>45607</v>
      </c>
      <c r="J617">
        <f>Sheet1[[#This Row],[Close Date]]-Sheet1[[#This Row],[Open Date]]</f>
        <v>0</v>
      </c>
      <c r="K617" t="str">
        <f>IF(Sheet1[[#This Row],[Actual Days]]&gt;=1,"Not Met","Met")</f>
        <v>Met</v>
      </c>
      <c r="L617" t="str">
        <f>TEXT(Sheet1[[#This Row],[Open Date]],"mmm")</f>
        <v>Nov</v>
      </c>
    </row>
    <row r="618" spans="1:12" x14ac:dyDescent="0.3">
      <c r="A618" t="s">
        <v>878</v>
      </c>
      <c r="B618" t="s">
        <v>13</v>
      </c>
      <c r="C618" t="s">
        <v>14</v>
      </c>
      <c r="D618" t="s">
        <v>32</v>
      </c>
      <c r="E618" t="s">
        <v>164</v>
      </c>
      <c r="F618" t="s">
        <v>17</v>
      </c>
      <c r="G618" t="s">
        <v>18</v>
      </c>
      <c r="H618" s="1">
        <v>45588</v>
      </c>
      <c r="I618" s="1">
        <v>45588</v>
      </c>
      <c r="J618">
        <f>Sheet1[[#This Row],[Close Date]]-Sheet1[[#This Row],[Open Date]]</f>
        <v>0</v>
      </c>
      <c r="K618" t="str">
        <f>IF(Sheet1[[#This Row],[Actual Days]]&gt;=1,"Not Met","Met")</f>
        <v>Met</v>
      </c>
      <c r="L618" t="str">
        <f>TEXT(Sheet1[[#This Row],[Open Date]],"mmm")</f>
        <v>Oct</v>
      </c>
    </row>
    <row r="619" spans="1:12" x14ac:dyDescent="0.3">
      <c r="A619" t="s">
        <v>879</v>
      </c>
      <c r="B619" t="s">
        <v>22</v>
      </c>
      <c r="C619" t="s">
        <v>84</v>
      </c>
      <c r="D619" t="s">
        <v>38</v>
      </c>
      <c r="E619" t="s">
        <v>166</v>
      </c>
      <c r="F619" t="s">
        <v>40</v>
      </c>
      <c r="G619" t="s">
        <v>34</v>
      </c>
      <c r="H619" s="1">
        <v>45607</v>
      </c>
      <c r="I619" s="1">
        <v>45607</v>
      </c>
      <c r="J619">
        <f>Sheet1[[#This Row],[Close Date]]-Sheet1[[#This Row],[Open Date]]</f>
        <v>0</v>
      </c>
      <c r="K619" t="str">
        <f>IF(Sheet1[[#This Row],[Actual Days]]&gt;=1,"Not Met","Met")</f>
        <v>Met</v>
      </c>
      <c r="L619" t="str">
        <f>TEXT(Sheet1[[#This Row],[Open Date]],"mmm")</f>
        <v>Nov</v>
      </c>
    </row>
    <row r="620" spans="1:12" x14ac:dyDescent="0.3">
      <c r="A620" t="s">
        <v>880</v>
      </c>
      <c r="B620" t="s">
        <v>36</v>
      </c>
      <c r="C620" t="s">
        <v>76</v>
      </c>
      <c r="D620" t="s">
        <v>87</v>
      </c>
      <c r="E620" t="s">
        <v>168</v>
      </c>
      <c r="F620" t="s">
        <v>17</v>
      </c>
      <c r="G620" t="s">
        <v>59</v>
      </c>
      <c r="H620" s="1">
        <v>45486</v>
      </c>
      <c r="I620" s="1">
        <v>45486</v>
      </c>
      <c r="J620">
        <f>Sheet1[[#This Row],[Close Date]]-Sheet1[[#This Row],[Open Date]]</f>
        <v>0</v>
      </c>
      <c r="K620" t="str">
        <f>IF(Sheet1[[#This Row],[Actual Days]]&gt;=1,"Not Met","Met")</f>
        <v>Met</v>
      </c>
      <c r="L620" t="str">
        <f>TEXT(Sheet1[[#This Row],[Open Date]],"mmm")</f>
        <v>Jul</v>
      </c>
    </row>
    <row r="621" spans="1:12" x14ac:dyDescent="0.3">
      <c r="A621" t="s">
        <v>881</v>
      </c>
      <c r="B621" t="s">
        <v>36</v>
      </c>
      <c r="C621" t="s">
        <v>76</v>
      </c>
      <c r="D621" t="s">
        <v>73</v>
      </c>
      <c r="E621" t="s">
        <v>170</v>
      </c>
      <c r="F621" t="s">
        <v>26</v>
      </c>
      <c r="G621" t="s">
        <v>49</v>
      </c>
      <c r="H621" s="1">
        <v>45615</v>
      </c>
      <c r="I621" s="1">
        <v>45615</v>
      </c>
      <c r="J621">
        <f>Sheet1[[#This Row],[Close Date]]-Sheet1[[#This Row],[Open Date]]</f>
        <v>0</v>
      </c>
      <c r="K621" t="str">
        <f>IF(Sheet1[[#This Row],[Actual Days]]&gt;=1,"Not Met","Met")</f>
        <v>Met</v>
      </c>
      <c r="L621" t="str">
        <f>TEXT(Sheet1[[#This Row],[Open Date]],"mmm")</f>
        <v>Nov</v>
      </c>
    </row>
    <row r="622" spans="1:12" x14ac:dyDescent="0.3">
      <c r="A622" t="s">
        <v>882</v>
      </c>
      <c r="B622" t="s">
        <v>13</v>
      </c>
      <c r="C622" t="s">
        <v>65</v>
      </c>
      <c r="D622" t="s">
        <v>94</v>
      </c>
      <c r="E622" t="s">
        <v>172</v>
      </c>
      <c r="F622" t="s">
        <v>17</v>
      </c>
      <c r="G622" t="s">
        <v>49</v>
      </c>
      <c r="H622" s="1">
        <v>45579</v>
      </c>
      <c r="I622" s="1">
        <v>45579</v>
      </c>
      <c r="J622">
        <f>Sheet1[[#This Row],[Close Date]]-Sheet1[[#This Row],[Open Date]]</f>
        <v>0</v>
      </c>
      <c r="K622" t="str">
        <f>IF(Sheet1[[#This Row],[Actual Days]]&gt;=1,"Not Met","Met")</f>
        <v>Met</v>
      </c>
      <c r="L622" t="str">
        <f>TEXT(Sheet1[[#This Row],[Open Date]],"mmm")</f>
        <v>Oct</v>
      </c>
    </row>
    <row r="623" spans="1:12" x14ac:dyDescent="0.3">
      <c r="A623" t="s">
        <v>883</v>
      </c>
      <c r="B623" t="s">
        <v>36</v>
      </c>
      <c r="C623" t="s">
        <v>62</v>
      </c>
      <c r="D623" t="s">
        <v>38</v>
      </c>
      <c r="E623" t="s">
        <v>174</v>
      </c>
      <c r="F623" t="s">
        <v>26</v>
      </c>
      <c r="G623" t="s">
        <v>59</v>
      </c>
      <c r="H623" s="1">
        <v>45572</v>
      </c>
      <c r="I623" s="1">
        <v>45573</v>
      </c>
      <c r="J623">
        <f>Sheet1[[#This Row],[Close Date]]-Sheet1[[#This Row],[Open Date]]</f>
        <v>1</v>
      </c>
      <c r="K623" t="str">
        <f>IF(Sheet1[[#This Row],[Actual Days]]&gt;=1,"Not Met","Met")</f>
        <v>Not Met</v>
      </c>
      <c r="L623" t="str">
        <f>TEXT(Sheet1[[#This Row],[Open Date]],"mmm")</f>
        <v>Oct</v>
      </c>
    </row>
    <row r="624" spans="1:12" x14ac:dyDescent="0.3">
      <c r="A624" t="s">
        <v>884</v>
      </c>
      <c r="B624" t="s">
        <v>22</v>
      </c>
      <c r="C624" t="s">
        <v>84</v>
      </c>
      <c r="D624" t="s">
        <v>24</v>
      </c>
      <c r="E624" t="s">
        <v>176</v>
      </c>
      <c r="F624" t="s">
        <v>40</v>
      </c>
      <c r="G624" t="s">
        <v>49</v>
      </c>
      <c r="H624" s="1">
        <v>45600</v>
      </c>
      <c r="I624" s="1">
        <v>45600</v>
      </c>
      <c r="J624">
        <f>Sheet1[[#This Row],[Close Date]]-Sheet1[[#This Row],[Open Date]]</f>
        <v>0</v>
      </c>
      <c r="K624" t="str">
        <f>IF(Sheet1[[#This Row],[Actual Days]]&gt;=1,"Not Met","Met")</f>
        <v>Met</v>
      </c>
      <c r="L624" t="str">
        <f>TEXT(Sheet1[[#This Row],[Open Date]],"mmm")</f>
        <v>Nov</v>
      </c>
    </row>
    <row r="625" spans="1:12" x14ac:dyDescent="0.3">
      <c r="A625" t="s">
        <v>885</v>
      </c>
      <c r="B625" t="s">
        <v>13</v>
      </c>
      <c r="C625" t="s">
        <v>14</v>
      </c>
      <c r="D625" t="s">
        <v>38</v>
      </c>
      <c r="E625" t="s">
        <v>178</v>
      </c>
      <c r="F625" t="s">
        <v>17</v>
      </c>
      <c r="G625" t="s">
        <v>49</v>
      </c>
      <c r="H625" s="1">
        <v>45524</v>
      </c>
      <c r="I625" s="1">
        <v>45525</v>
      </c>
      <c r="J625">
        <f>Sheet1[[#This Row],[Close Date]]-Sheet1[[#This Row],[Open Date]]</f>
        <v>1</v>
      </c>
      <c r="K625" t="str">
        <f>IF(Sheet1[[#This Row],[Actual Days]]&gt;=1,"Not Met","Met")</f>
        <v>Not Met</v>
      </c>
      <c r="L625" t="str">
        <f>TEXT(Sheet1[[#This Row],[Open Date]],"mmm")</f>
        <v>Aug</v>
      </c>
    </row>
    <row r="626" spans="1:12" x14ac:dyDescent="0.3">
      <c r="A626" t="s">
        <v>886</v>
      </c>
      <c r="B626" t="s">
        <v>30</v>
      </c>
      <c r="C626" t="s">
        <v>51</v>
      </c>
      <c r="D626" t="s">
        <v>38</v>
      </c>
      <c r="E626" t="s">
        <v>180</v>
      </c>
      <c r="F626" t="s">
        <v>40</v>
      </c>
      <c r="G626" t="s">
        <v>34</v>
      </c>
      <c r="H626" s="1">
        <v>45614</v>
      </c>
      <c r="I626" s="1">
        <v>45614</v>
      </c>
      <c r="J626">
        <f>Sheet1[[#This Row],[Close Date]]-Sheet1[[#This Row],[Open Date]]</f>
        <v>0</v>
      </c>
      <c r="K626" t="str">
        <f>IF(Sheet1[[#This Row],[Actual Days]]&gt;=1,"Not Met","Met")</f>
        <v>Met</v>
      </c>
      <c r="L626" t="str">
        <f>TEXT(Sheet1[[#This Row],[Open Date]],"mmm")</f>
        <v>Nov</v>
      </c>
    </row>
    <row r="627" spans="1:12" x14ac:dyDescent="0.3">
      <c r="A627" t="s">
        <v>887</v>
      </c>
      <c r="B627" t="s">
        <v>13</v>
      </c>
      <c r="C627" t="s">
        <v>65</v>
      </c>
      <c r="D627" t="s">
        <v>87</v>
      </c>
      <c r="E627" t="s">
        <v>182</v>
      </c>
      <c r="F627" t="s">
        <v>26</v>
      </c>
      <c r="G627" t="s">
        <v>59</v>
      </c>
      <c r="H627" s="1">
        <v>45573</v>
      </c>
      <c r="I627" s="1">
        <v>45573</v>
      </c>
      <c r="J627">
        <f>Sheet1[[#This Row],[Close Date]]-Sheet1[[#This Row],[Open Date]]</f>
        <v>0</v>
      </c>
      <c r="K627" t="str">
        <f>IF(Sheet1[[#This Row],[Actual Days]]&gt;=1,"Not Met","Met")</f>
        <v>Met</v>
      </c>
      <c r="L627" t="str">
        <f>TEXT(Sheet1[[#This Row],[Open Date]],"mmm")</f>
        <v>Oct</v>
      </c>
    </row>
    <row r="628" spans="1:12" x14ac:dyDescent="0.3">
      <c r="A628" t="s">
        <v>888</v>
      </c>
      <c r="B628" t="s">
        <v>13</v>
      </c>
      <c r="C628" t="s">
        <v>68</v>
      </c>
      <c r="D628" t="s">
        <v>24</v>
      </c>
      <c r="E628" t="s">
        <v>184</v>
      </c>
      <c r="F628" t="s">
        <v>26</v>
      </c>
      <c r="G628" t="s">
        <v>49</v>
      </c>
      <c r="H628" s="1">
        <v>45536</v>
      </c>
      <c r="I628" s="1">
        <v>45536</v>
      </c>
      <c r="J628">
        <f>Sheet1[[#This Row],[Close Date]]-Sheet1[[#This Row],[Open Date]]</f>
        <v>0</v>
      </c>
      <c r="K628" t="str">
        <f>IF(Sheet1[[#This Row],[Actual Days]]&gt;=1,"Not Met","Met")</f>
        <v>Met</v>
      </c>
      <c r="L628" t="str">
        <f>TEXT(Sheet1[[#This Row],[Open Date]],"mmm")</f>
        <v>Sep</v>
      </c>
    </row>
    <row r="629" spans="1:12" x14ac:dyDescent="0.3">
      <c r="A629" t="s">
        <v>889</v>
      </c>
      <c r="B629" t="s">
        <v>30</v>
      </c>
      <c r="C629" t="s">
        <v>51</v>
      </c>
      <c r="D629" t="s">
        <v>38</v>
      </c>
      <c r="E629" t="s">
        <v>186</v>
      </c>
      <c r="F629" t="s">
        <v>40</v>
      </c>
      <c r="G629" t="s">
        <v>18</v>
      </c>
      <c r="H629" s="1">
        <v>45605</v>
      </c>
      <c r="I629" s="1">
        <v>45605</v>
      </c>
      <c r="J629">
        <f>Sheet1[[#This Row],[Close Date]]-Sheet1[[#This Row],[Open Date]]</f>
        <v>0</v>
      </c>
      <c r="K629" t="str">
        <f>IF(Sheet1[[#This Row],[Actual Days]]&gt;=1,"Not Met","Met")</f>
        <v>Met</v>
      </c>
      <c r="L629" t="str">
        <f>TEXT(Sheet1[[#This Row],[Open Date]],"mmm")</f>
        <v>Nov</v>
      </c>
    </row>
    <row r="630" spans="1:12" x14ac:dyDescent="0.3">
      <c r="A630" t="s">
        <v>890</v>
      </c>
      <c r="B630" t="s">
        <v>30</v>
      </c>
      <c r="C630" t="s">
        <v>161</v>
      </c>
      <c r="D630" t="s">
        <v>32</v>
      </c>
      <c r="E630" t="s">
        <v>188</v>
      </c>
      <c r="F630" t="s">
        <v>40</v>
      </c>
      <c r="G630" t="s">
        <v>18</v>
      </c>
      <c r="H630" s="1">
        <v>45491</v>
      </c>
      <c r="I630" s="1">
        <v>45491</v>
      </c>
      <c r="J630">
        <f>Sheet1[[#This Row],[Close Date]]-Sheet1[[#This Row],[Open Date]]</f>
        <v>0</v>
      </c>
      <c r="K630" t="str">
        <f>IF(Sheet1[[#This Row],[Actual Days]]&gt;=1,"Not Met","Met")</f>
        <v>Met</v>
      </c>
      <c r="L630" t="str">
        <f>TEXT(Sheet1[[#This Row],[Open Date]],"mmm")</f>
        <v>Jul</v>
      </c>
    </row>
    <row r="631" spans="1:12" x14ac:dyDescent="0.3">
      <c r="A631" t="s">
        <v>891</v>
      </c>
      <c r="B631" t="s">
        <v>13</v>
      </c>
      <c r="C631" t="s">
        <v>65</v>
      </c>
      <c r="D631" t="s">
        <v>73</v>
      </c>
      <c r="E631" t="s">
        <v>190</v>
      </c>
      <c r="F631" t="s">
        <v>17</v>
      </c>
      <c r="G631" t="s">
        <v>18</v>
      </c>
      <c r="H631" s="1">
        <v>45623</v>
      </c>
      <c r="I631" s="1">
        <v>45623</v>
      </c>
      <c r="J631">
        <f>Sheet1[[#This Row],[Close Date]]-Sheet1[[#This Row],[Open Date]]</f>
        <v>0</v>
      </c>
      <c r="K631" t="str">
        <f>IF(Sheet1[[#This Row],[Actual Days]]&gt;=1,"Not Met","Met")</f>
        <v>Met</v>
      </c>
      <c r="L631" t="str">
        <f>TEXT(Sheet1[[#This Row],[Open Date]],"mmm")</f>
        <v>Nov</v>
      </c>
    </row>
    <row r="632" spans="1:12" x14ac:dyDescent="0.3">
      <c r="A632" t="s">
        <v>892</v>
      </c>
      <c r="B632" t="s">
        <v>30</v>
      </c>
      <c r="C632" t="s">
        <v>31</v>
      </c>
      <c r="D632" t="s">
        <v>24</v>
      </c>
      <c r="E632" t="s">
        <v>192</v>
      </c>
      <c r="F632" t="s">
        <v>26</v>
      </c>
      <c r="G632" t="s">
        <v>27</v>
      </c>
      <c r="H632" s="1">
        <v>45589</v>
      </c>
      <c r="I632" s="1">
        <v>45589</v>
      </c>
      <c r="J632">
        <f>Sheet1[[#This Row],[Close Date]]-Sheet1[[#This Row],[Open Date]]</f>
        <v>0</v>
      </c>
      <c r="K632" t="str">
        <f>IF(Sheet1[[#This Row],[Actual Days]]&gt;=1,"Not Met","Met")</f>
        <v>Met</v>
      </c>
      <c r="L632" t="str">
        <f>TEXT(Sheet1[[#This Row],[Open Date]],"mmm")</f>
        <v>Oct</v>
      </c>
    </row>
    <row r="633" spans="1:12" x14ac:dyDescent="0.3">
      <c r="A633" t="s">
        <v>893</v>
      </c>
      <c r="B633" t="s">
        <v>13</v>
      </c>
      <c r="C633" t="s">
        <v>14</v>
      </c>
      <c r="D633" t="s">
        <v>73</v>
      </c>
      <c r="E633" t="s">
        <v>194</v>
      </c>
      <c r="F633" t="s">
        <v>26</v>
      </c>
      <c r="G633" t="s">
        <v>34</v>
      </c>
      <c r="H633" s="1">
        <v>45476</v>
      </c>
      <c r="I633" s="1">
        <v>45476</v>
      </c>
      <c r="J633">
        <f>Sheet1[[#This Row],[Close Date]]-Sheet1[[#This Row],[Open Date]]</f>
        <v>0</v>
      </c>
      <c r="K633" t="str">
        <f>IF(Sheet1[[#This Row],[Actual Days]]&gt;=1,"Not Met","Met")</f>
        <v>Met</v>
      </c>
      <c r="L633" t="str">
        <f>TEXT(Sheet1[[#This Row],[Open Date]],"mmm")</f>
        <v>Jul</v>
      </c>
    </row>
    <row r="634" spans="1:12" x14ac:dyDescent="0.3">
      <c r="A634" t="s">
        <v>894</v>
      </c>
      <c r="B634" t="s">
        <v>30</v>
      </c>
      <c r="C634" t="s">
        <v>161</v>
      </c>
      <c r="D634" t="s">
        <v>15</v>
      </c>
      <c r="E634" t="s">
        <v>196</v>
      </c>
      <c r="F634" t="s">
        <v>17</v>
      </c>
      <c r="G634" t="s">
        <v>45</v>
      </c>
      <c r="H634" s="1">
        <v>45591</v>
      </c>
      <c r="I634" s="1">
        <v>45591</v>
      </c>
      <c r="J634">
        <f>Sheet1[[#This Row],[Close Date]]-Sheet1[[#This Row],[Open Date]]</f>
        <v>0</v>
      </c>
      <c r="K634" t="str">
        <f>IF(Sheet1[[#This Row],[Actual Days]]&gt;=1,"Not Met","Met")</f>
        <v>Met</v>
      </c>
      <c r="L634" t="str">
        <f>TEXT(Sheet1[[#This Row],[Open Date]],"mmm")</f>
        <v>Oct</v>
      </c>
    </row>
    <row r="635" spans="1:12" x14ac:dyDescent="0.3">
      <c r="A635" t="s">
        <v>895</v>
      </c>
      <c r="B635" t="s">
        <v>22</v>
      </c>
      <c r="C635" t="s">
        <v>101</v>
      </c>
      <c r="D635" t="s">
        <v>24</v>
      </c>
      <c r="E635" t="s">
        <v>198</v>
      </c>
      <c r="F635" t="s">
        <v>40</v>
      </c>
      <c r="G635" t="s">
        <v>27</v>
      </c>
      <c r="H635" s="1">
        <v>45527</v>
      </c>
      <c r="I635" s="1">
        <v>45527</v>
      </c>
      <c r="J635">
        <f>Sheet1[[#This Row],[Close Date]]-Sheet1[[#This Row],[Open Date]]</f>
        <v>0</v>
      </c>
      <c r="K635" t="str">
        <f>IF(Sheet1[[#This Row],[Actual Days]]&gt;=1,"Not Met","Met")</f>
        <v>Met</v>
      </c>
      <c r="L635" t="str">
        <f>TEXT(Sheet1[[#This Row],[Open Date]],"mmm")</f>
        <v>Aug</v>
      </c>
    </row>
    <row r="636" spans="1:12" x14ac:dyDescent="0.3">
      <c r="A636" t="s">
        <v>896</v>
      </c>
      <c r="B636" t="s">
        <v>30</v>
      </c>
      <c r="C636" t="s">
        <v>161</v>
      </c>
      <c r="D636" t="s">
        <v>24</v>
      </c>
      <c r="E636" t="s">
        <v>200</v>
      </c>
      <c r="F636" t="s">
        <v>17</v>
      </c>
      <c r="G636" t="s">
        <v>34</v>
      </c>
      <c r="H636" s="1">
        <v>45580</v>
      </c>
      <c r="I636" s="1">
        <v>45580</v>
      </c>
      <c r="J636">
        <f>Sheet1[[#This Row],[Close Date]]-Sheet1[[#This Row],[Open Date]]</f>
        <v>0</v>
      </c>
      <c r="K636" t="str">
        <f>IF(Sheet1[[#This Row],[Actual Days]]&gt;=1,"Not Met","Met")</f>
        <v>Met</v>
      </c>
      <c r="L636" t="str">
        <f>TEXT(Sheet1[[#This Row],[Open Date]],"mmm")</f>
        <v>Oct</v>
      </c>
    </row>
    <row r="637" spans="1:12" x14ac:dyDescent="0.3">
      <c r="A637" t="s">
        <v>897</v>
      </c>
      <c r="B637" t="s">
        <v>22</v>
      </c>
      <c r="C637" t="s">
        <v>84</v>
      </c>
      <c r="D637" t="s">
        <v>94</v>
      </c>
      <c r="E637" t="s">
        <v>202</v>
      </c>
      <c r="F637" t="s">
        <v>17</v>
      </c>
      <c r="G637" t="s">
        <v>45</v>
      </c>
      <c r="H637" s="1">
        <v>45569</v>
      </c>
      <c r="I637" s="1">
        <v>45569</v>
      </c>
      <c r="J637">
        <f>Sheet1[[#This Row],[Close Date]]-Sheet1[[#This Row],[Open Date]]</f>
        <v>0</v>
      </c>
      <c r="K637" t="str">
        <f>IF(Sheet1[[#This Row],[Actual Days]]&gt;=1,"Not Met","Met")</f>
        <v>Met</v>
      </c>
      <c r="L637" t="str">
        <f>TEXT(Sheet1[[#This Row],[Open Date]],"mmm")</f>
        <v>Oct</v>
      </c>
    </row>
    <row r="638" spans="1:12" x14ac:dyDescent="0.3">
      <c r="A638" t="s">
        <v>898</v>
      </c>
      <c r="B638" t="s">
        <v>22</v>
      </c>
      <c r="C638" t="s">
        <v>101</v>
      </c>
      <c r="D638" t="s">
        <v>15</v>
      </c>
      <c r="E638" t="s">
        <v>204</v>
      </c>
      <c r="F638" t="s">
        <v>26</v>
      </c>
      <c r="G638" t="s">
        <v>45</v>
      </c>
      <c r="H638" s="1">
        <v>45621</v>
      </c>
      <c r="I638" s="1">
        <v>45621</v>
      </c>
      <c r="J638">
        <f>Sheet1[[#This Row],[Close Date]]-Sheet1[[#This Row],[Open Date]]</f>
        <v>0</v>
      </c>
      <c r="K638" t="str">
        <f>IF(Sheet1[[#This Row],[Actual Days]]&gt;=1,"Not Met","Met")</f>
        <v>Met</v>
      </c>
      <c r="L638" t="str">
        <f>TEXT(Sheet1[[#This Row],[Open Date]],"mmm")</f>
        <v>Nov</v>
      </c>
    </row>
    <row r="639" spans="1:12" x14ac:dyDescent="0.3">
      <c r="A639" t="s">
        <v>899</v>
      </c>
      <c r="B639" t="s">
        <v>22</v>
      </c>
      <c r="C639" t="s">
        <v>101</v>
      </c>
      <c r="D639" t="s">
        <v>24</v>
      </c>
      <c r="E639" t="s">
        <v>206</v>
      </c>
      <c r="F639" t="s">
        <v>26</v>
      </c>
      <c r="G639" t="s">
        <v>45</v>
      </c>
      <c r="H639" s="1">
        <v>45571</v>
      </c>
      <c r="I639" s="1">
        <v>45571</v>
      </c>
      <c r="J639">
        <f>Sheet1[[#This Row],[Close Date]]-Sheet1[[#This Row],[Open Date]]</f>
        <v>0</v>
      </c>
      <c r="K639" t="str">
        <f>IF(Sheet1[[#This Row],[Actual Days]]&gt;=1,"Not Met","Met")</f>
        <v>Met</v>
      </c>
      <c r="L639" t="str">
        <f>TEXT(Sheet1[[#This Row],[Open Date]],"mmm")</f>
        <v>Oct</v>
      </c>
    </row>
    <row r="640" spans="1:12" x14ac:dyDescent="0.3">
      <c r="A640" t="s">
        <v>900</v>
      </c>
      <c r="B640" t="s">
        <v>13</v>
      </c>
      <c r="C640" t="s">
        <v>65</v>
      </c>
      <c r="D640" t="s">
        <v>94</v>
      </c>
      <c r="E640" t="s">
        <v>208</v>
      </c>
      <c r="F640" t="s">
        <v>26</v>
      </c>
      <c r="G640" t="s">
        <v>27</v>
      </c>
      <c r="H640" s="1">
        <v>45555</v>
      </c>
      <c r="I640" s="1">
        <v>45555</v>
      </c>
      <c r="J640">
        <f>Sheet1[[#This Row],[Close Date]]-Sheet1[[#This Row],[Open Date]]</f>
        <v>0</v>
      </c>
      <c r="K640" t="str">
        <f>IF(Sheet1[[#This Row],[Actual Days]]&gt;=1,"Not Met","Met")</f>
        <v>Met</v>
      </c>
      <c r="L640" t="str">
        <f>TEXT(Sheet1[[#This Row],[Open Date]],"mmm")</f>
        <v>Sep</v>
      </c>
    </row>
    <row r="641" spans="1:12" x14ac:dyDescent="0.3">
      <c r="A641" t="s">
        <v>901</v>
      </c>
      <c r="B641" t="s">
        <v>22</v>
      </c>
      <c r="C641" t="s">
        <v>84</v>
      </c>
      <c r="D641" t="s">
        <v>24</v>
      </c>
      <c r="E641" t="s">
        <v>210</v>
      </c>
      <c r="F641" t="s">
        <v>26</v>
      </c>
      <c r="G641" t="s">
        <v>34</v>
      </c>
      <c r="H641" s="1">
        <v>45544</v>
      </c>
      <c r="I641" s="1">
        <v>45544</v>
      </c>
      <c r="J641">
        <f>Sheet1[[#This Row],[Close Date]]-Sheet1[[#This Row],[Open Date]]</f>
        <v>0</v>
      </c>
      <c r="K641" t="str">
        <f>IF(Sheet1[[#This Row],[Actual Days]]&gt;=1,"Not Met","Met")</f>
        <v>Met</v>
      </c>
      <c r="L641" t="str">
        <f>TEXT(Sheet1[[#This Row],[Open Date]],"mmm")</f>
        <v>Sep</v>
      </c>
    </row>
    <row r="642" spans="1:12" x14ac:dyDescent="0.3">
      <c r="A642" t="s">
        <v>902</v>
      </c>
      <c r="B642" t="s">
        <v>13</v>
      </c>
      <c r="C642" t="s">
        <v>68</v>
      </c>
      <c r="D642" t="s">
        <v>32</v>
      </c>
      <c r="E642" t="s">
        <v>212</v>
      </c>
      <c r="F642" t="s">
        <v>17</v>
      </c>
      <c r="G642" t="s">
        <v>45</v>
      </c>
      <c r="H642" s="1">
        <v>45618</v>
      </c>
      <c r="I642" s="1">
        <v>45618</v>
      </c>
      <c r="J642">
        <f>Sheet1[[#This Row],[Close Date]]-Sheet1[[#This Row],[Open Date]]</f>
        <v>0</v>
      </c>
      <c r="K642" t="str">
        <f>IF(Sheet1[[#This Row],[Actual Days]]&gt;=1,"Not Met","Met")</f>
        <v>Met</v>
      </c>
      <c r="L642" t="str">
        <f>TEXT(Sheet1[[#This Row],[Open Date]],"mmm")</f>
        <v>Nov</v>
      </c>
    </row>
    <row r="643" spans="1:12" x14ac:dyDescent="0.3">
      <c r="A643" t="s">
        <v>903</v>
      </c>
      <c r="B643" t="s">
        <v>30</v>
      </c>
      <c r="C643" t="s">
        <v>31</v>
      </c>
      <c r="D643" t="s">
        <v>94</v>
      </c>
      <c r="E643" t="s">
        <v>214</v>
      </c>
      <c r="F643" t="s">
        <v>17</v>
      </c>
      <c r="G643" t="s">
        <v>34</v>
      </c>
      <c r="H643" s="1">
        <v>45600</v>
      </c>
      <c r="I643" s="1">
        <v>45600</v>
      </c>
      <c r="J643">
        <f>Sheet1[[#This Row],[Close Date]]-Sheet1[[#This Row],[Open Date]]</f>
        <v>0</v>
      </c>
      <c r="K643" t="str">
        <f>IF(Sheet1[[#This Row],[Actual Days]]&gt;=1,"Not Met","Met")</f>
        <v>Met</v>
      </c>
      <c r="L643" t="str">
        <f>TEXT(Sheet1[[#This Row],[Open Date]],"mmm")</f>
        <v>Nov</v>
      </c>
    </row>
    <row r="644" spans="1:12" x14ac:dyDescent="0.3">
      <c r="A644" t="s">
        <v>904</v>
      </c>
      <c r="B644" t="s">
        <v>42</v>
      </c>
      <c r="C644" t="s">
        <v>104</v>
      </c>
      <c r="D644" t="s">
        <v>94</v>
      </c>
      <c r="E644" t="s">
        <v>216</v>
      </c>
      <c r="F644" t="s">
        <v>40</v>
      </c>
      <c r="G644" t="s">
        <v>49</v>
      </c>
      <c r="H644" s="1">
        <v>45518</v>
      </c>
      <c r="I644" s="1">
        <v>45518</v>
      </c>
      <c r="J644">
        <f>Sheet1[[#This Row],[Close Date]]-Sheet1[[#This Row],[Open Date]]</f>
        <v>0</v>
      </c>
      <c r="K644" t="str">
        <f>IF(Sheet1[[#This Row],[Actual Days]]&gt;=1,"Not Met","Met")</f>
        <v>Met</v>
      </c>
      <c r="L644" t="str">
        <f>TEXT(Sheet1[[#This Row],[Open Date]],"mmm")</f>
        <v>Aug</v>
      </c>
    </row>
    <row r="645" spans="1:12" x14ac:dyDescent="0.3">
      <c r="A645" t="s">
        <v>905</v>
      </c>
      <c r="B645" t="s">
        <v>30</v>
      </c>
      <c r="C645" t="s">
        <v>161</v>
      </c>
      <c r="D645" t="s">
        <v>73</v>
      </c>
      <c r="E645" t="s">
        <v>218</v>
      </c>
      <c r="F645" t="s">
        <v>17</v>
      </c>
      <c r="G645" t="s">
        <v>45</v>
      </c>
      <c r="H645" s="1">
        <v>45540</v>
      </c>
      <c r="I645" s="1">
        <v>45540</v>
      </c>
      <c r="J645">
        <f>Sheet1[[#This Row],[Close Date]]-Sheet1[[#This Row],[Open Date]]</f>
        <v>0</v>
      </c>
      <c r="K645" t="str">
        <f>IF(Sheet1[[#This Row],[Actual Days]]&gt;=1,"Not Met","Met")</f>
        <v>Met</v>
      </c>
      <c r="L645" t="str">
        <f>TEXT(Sheet1[[#This Row],[Open Date]],"mmm")</f>
        <v>Sep</v>
      </c>
    </row>
    <row r="646" spans="1:12" x14ac:dyDescent="0.3">
      <c r="A646" t="s">
        <v>906</v>
      </c>
      <c r="B646" t="s">
        <v>13</v>
      </c>
      <c r="C646" t="s">
        <v>14</v>
      </c>
      <c r="D646" t="s">
        <v>38</v>
      </c>
      <c r="E646" t="s">
        <v>220</v>
      </c>
      <c r="F646" t="s">
        <v>17</v>
      </c>
      <c r="G646" t="s">
        <v>34</v>
      </c>
      <c r="H646" s="1">
        <v>45592</v>
      </c>
      <c r="I646" s="1">
        <v>45592</v>
      </c>
      <c r="J646">
        <f>Sheet1[[#This Row],[Close Date]]-Sheet1[[#This Row],[Open Date]]</f>
        <v>0</v>
      </c>
      <c r="K646" t="str">
        <f>IF(Sheet1[[#This Row],[Actual Days]]&gt;=1,"Not Met","Met")</f>
        <v>Met</v>
      </c>
      <c r="L646" t="str">
        <f>TEXT(Sheet1[[#This Row],[Open Date]],"mmm")</f>
        <v>Oct</v>
      </c>
    </row>
    <row r="647" spans="1:12" x14ac:dyDescent="0.3">
      <c r="A647" t="s">
        <v>907</v>
      </c>
      <c r="B647" t="s">
        <v>36</v>
      </c>
      <c r="C647" t="s">
        <v>37</v>
      </c>
      <c r="D647" t="s">
        <v>156</v>
      </c>
      <c r="E647" t="s">
        <v>222</v>
      </c>
      <c r="F647" t="s">
        <v>40</v>
      </c>
      <c r="G647" t="s">
        <v>18</v>
      </c>
      <c r="H647" s="1">
        <v>45579</v>
      </c>
      <c r="I647" s="1">
        <v>45579</v>
      </c>
      <c r="J647">
        <f>Sheet1[[#This Row],[Close Date]]-Sheet1[[#This Row],[Open Date]]</f>
        <v>0</v>
      </c>
      <c r="K647" t="str">
        <f>IF(Sheet1[[#This Row],[Actual Days]]&gt;=1,"Not Met","Met")</f>
        <v>Met</v>
      </c>
      <c r="L647" t="str">
        <f>TEXT(Sheet1[[#This Row],[Open Date]],"mmm")</f>
        <v>Oct</v>
      </c>
    </row>
    <row r="648" spans="1:12" x14ac:dyDescent="0.3">
      <c r="A648" t="s">
        <v>908</v>
      </c>
      <c r="B648" t="s">
        <v>36</v>
      </c>
      <c r="C648" t="s">
        <v>37</v>
      </c>
      <c r="D648" t="s">
        <v>87</v>
      </c>
      <c r="E648" t="s">
        <v>224</v>
      </c>
      <c r="F648" t="s">
        <v>17</v>
      </c>
      <c r="G648" t="s">
        <v>49</v>
      </c>
      <c r="H648" s="1">
        <v>45521</v>
      </c>
      <c r="I648" s="1">
        <v>45521</v>
      </c>
      <c r="J648">
        <f>Sheet1[[#This Row],[Close Date]]-Sheet1[[#This Row],[Open Date]]</f>
        <v>0</v>
      </c>
      <c r="K648" t="str">
        <f>IF(Sheet1[[#This Row],[Actual Days]]&gt;=1,"Not Met","Met")</f>
        <v>Met</v>
      </c>
      <c r="L648" t="str">
        <f>TEXT(Sheet1[[#This Row],[Open Date]],"mmm")</f>
        <v>Aug</v>
      </c>
    </row>
    <row r="649" spans="1:12" x14ac:dyDescent="0.3">
      <c r="A649" t="s">
        <v>909</v>
      </c>
      <c r="B649" t="s">
        <v>30</v>
      </c>
      <c r="C649" t="s">
        <v>51</v>
      </c>
      <c r="D649" t="s">
        <v>73</v>
      </c>
      <c r="E649" t="s">
        <v>226</v>
      </c>
      <c r="F649" t="s">
        <v>17</v>
      </c>
      <c r="G649" t="s">
        <v>34</v>
      </c>
      <c r="H649" s="1">
        <v>45561</v>
      </c>
      <c r="I649" s="1">
        <v>45561</v>
      </c>
      <c r="J649">
        <f>Sheet1[[#This Row],[Close Date]]-Sheet1[[#This Row],[Open Date]]</f>
        <v>0</v>
      </c>
      <c r="K649" t="str">
        <f>IF(Sheet1[[#This Row],[Actual Days]]&gt;=1,"Not Met","Met")</f>
        <v>Met</v>
      </c>
      <c r="L649" t="str">
        <f>TEXT(Sheet1[[#This Row],[Open Date]],"mmm")</f>
        <v>Sep</v>
      </c>
    </row>
    <row r="650" spans="1:12" x14ac:dyDescent="0.3">
      <c r="A650" t="s">
        <v>910</v>
      </c>
      <c r="B650" t="s">
        <v>13</v>
      </c>
      <c r="C650" t="s">
        <v>68</v>
      </c>
      <c r="D650" t="s">
        <v>38</v>
      </c>
      <c r="E650" t="s">
        <v>228</v>
      </c>
      <c r="F650" t="s">
        <v>26</v>
      </c>
      <c r="G650" t="s">
        <v>18</v>
      </c>
      <c r="H650" s="1">
        <v>45622</v>
      </c>
      <c r="I650" s="1">
        <v>45622</v>
      </c>
      <c r="J650">
        <f>Sheet1[[#This Row],[Close Date]]-Sheet1[[#This Row],[Open Date]]</f>
        <v>0</v>
      </c>
      <c r="K650" t="str">
        <f>IF(Sheet1[[#This Row],[Actual Days]]&gt;=1,"Not Met","Met")</f>
        <v>Met</v>
      </c>
      <c r="L650" t="str">
        <f>TEXT(Sheet1[[#This Row],[Open Date]],"mmm")</f>
        <v>Nov</v>
      </c>
    </row>
    <row r="651" spans="1:12" x14ac:dyDescent="0.3">
      <c r="A651" t="s">
        <v>911</v>
      </c>
      <c r="B651" t="s">
        <v>30</v>
      </c>
      <c r="C651" t="s">
        <v>161</v>
      </c>
      <c r="D651" t="s">
        <v>38</v>
      </c>
      <c r="E651" t="s">
        <v>230</v>
      </c>
      <c r="F651" t="s">
        <v>26</v>
      </c>
      <c r="G651" t="s">
        <v>27</v>
      </c>
      <c r="H651" s="1">
        <v>45592</v>
      </c>
      <c r="I651" s="1">
        <v>45592</v>
      </c>
      <c r="J651">
        <f>Sheet1[[#This Row],[Close Date]]-Sheet1[[#This Row],[Open Date]]</f>
        <v>0</v>
      </c>
      <c r="K651" t="str">
        <f>IF(Sheet1[[#This Row],[Actual Days]]&gt;=1,"Not Met","Met")</f>
        <v>Met</v>
      </c>
      <c r="L651" t="str">
        <f>TEXT(Sheet1[[#This Row],[Open Date]],"mmm")</f>
        <v>Oct</v>
      </c>
    </row>
    <row r="652" spans="1:12" x14ac:dyDescent="0.3">
      <c r="A652" t="s">
        <v>912</v>
      </c>
      <c r="B652" t="s">
        <v>36</v>
      </c>
      <c r="C652" t="s">
        <v>76</v>
      </c>
      <c r="D652" t="s">
        <v>156</v>
      </c>
      <c r="E652" t="s">
        <v>232</v>
      </c>
      <c r="F652" t="s">
        <v>40</v>
      </c>
      <c r="G652" t="s">
        <v>49</v>
      </c>
      <c r="H652" s="1">
        <v>45605</v>
      </c>
      <c r="I652" s="1">
        <v>45605</v>
      </c>
      <c r="J652">
        <f>Sheet1[[#This Row],[Close Date]]-Sheet1[[#This Row],[Open Date]]</f>
        <v>0</v>
      </c>
      <c r="K652" t="str">
        <f>IF(Sheet1[[#This Row],[Actual Days]]&gt;=1,"Not Met","Met")</f>
        <v>Met</v>
      </c>
      <c r="L652" t="str">
        <f>TEXT(Sheet1[[#This Row],[Open Date]],"mmm")</f>
        <v>Nov</v>
      </c>
    </row>
    <row r="653" spans="1:12" x14ac:dyDescent="0.3">
      <c r="A653" t="s">
        <v>913</v>
      </c>
      <c r="B653" t="s">
        <v>13</v>
      </c>
      <c r="C653" t="s">
        <v>14</v>
      </c>
      <c r="D653" t="s">
        <v>24</v>
      </c>
      <c r="E653" t="s">
        <v>234</v>
      </c>
      <c r="F653" t="s">
        <v>26</v>
      </c>
      <c r="G653" t="s">
        <v>45</v>
      </c>
      <c r="H653" s="1">
        <v>45542</v>
      </c>
      <c r="I653" s="1">
        <v>45543</v>
      </c>
      <c r="J653">
        <f>Sheet1[[#This Row],[Close Date]]-Sheet1[[#This Row],[Open Date]]</f>
        <v>1</v>
      </c>
      <c r="K653" t="str">
        <f>IF(Sheet1[[#This Row],[Actual Days]]&gt;=1,"Not Met","Met")</f>
        <v>Not Met</v>
      </c>
      <c r="L653" t="str">
        <f>TEXT(Sheet1[[#This Row],[Open Date]],"mmm")</f>
        <v>Sep</v>
      </c>
    </row>
    <row r="654" spans="1:12" x14ac:dyDescent="0.3">
      <c r="A654" t="s">
        <v>914</v>
      </c>
      <c r="B654" t="s">
        <v>13</v>
      </c>
      <c r="C654" t="s">
        <v>68</v>
      </c>
      <c r="D654" t="s">
        <v>94</v>
      </c>
      <c r="E654" t="s">
        <v>236</v>
      </c>
      <c r="F654" t="s">
        <v>17</v>
      </c>
      <c r="G654" t="s">
        <v>45</v>
      </c>
      <c r="H654" s="1">
        <v>45584</v>
      </c>
      <c r="I654" s="1">
        <v>45584</v>
      </c>
      <c r="J654">
        <f>Sheet1[[#This Row],[Close Date]]-Sheet1[[#This Row],[Open Date]]</f>
        <v>0</v>
      </c>
      <c r="K654" t="str">
        <f>IF(Sheet1[[#This Row],[Actual Days]]&gt;=1,"Not Met","Met")</f>
        <v>Met</v>
      </c>
      <c r="L654" t="str">
        <f>TEXT(Sheet1[[#This Row],[Open Date]],"mmm")</f>
        <v>Oct</v>
      </c>
    </row>
    <row r="655" spans="1:12" x14ac:dyDescent="0.3">
      <c r="A655" t="s">
        <v>915</v>
      </c>
      <c r="B655" t="s">
        <v>42</v>
      </c>
      <c r="C655" t="s">
        <v>43</v>
      </c>
      <c r="D655" t="s">
        <v>156</v>
      </c>
      <c r="E655" t="s">
        <v>238</v>
      </c>
      <c r="F655" t="s">
        <v>26</v>
      </c>
      <c r="G655" t="s">
        <v>59</v>
      </c>
      <c r="H655" s="1">
        <v>45502</v>
      </c>
      <c r="I655" s="1">
        <v>45502</v>
      </c>
      <c r="J655">
        <f>Sheet1[[#This Row],[Close Date]]-Sheet1[[#This Row],[Open Date]]</f>
        <v>0</v>
      </c>
      <c r="K655" t="str">
        <f>IF(Sheet1[[#This Row],[Actual Days]]&gt;=1,"Not Met","Met")</f>
        <v>Met</v>
      </c>
      <c r="L655" t="str">
        <f>TEXT(Sheet1[[#This Row],[Open Date]],"mmm")</f>
        <v>Jul</v>
      </c>
    </row>
    <row r="656" spans="1:12" x14ac:dyDescent="0.3">
      <c r="A656" t="s">
        <v>916</v>
      </c>
      <c r="B656" t="s">
        <v>13</v>
      </c>
      <c r="C656" t="s">
        <v>14</v>
      </c>
      <c r="D656" t="s">
        <v>73</v>
      </c>
      <c r="E656" t="s">
        <v>240</v>
      </c>
      <c r="F656" t="s">
        <v>26</v>
      </c>
      <c r="G656" t="s">
        <v>49</v>
      </c>
      <c r="H656" s="1">
        <v>45550</v>
      </c>
      <c r="I656" s="1">
        <v>45550</v>
      </c>
      <c r="J656">
        <f>Sheet1[[#This Row],[Close Date]]-Sheet1[[#This Row],[Open Date]]</f>
        <v>0</v>
      </c>
      <c r="K656" t="str">
        <f>IF(Sheet1[[#This Row],[Actual Days]]&gt;=1,"Not Met","Met")</f>
        <v>Met</v>
      </c>
      <c r="L656" t="str">
        <f>TEXT(Sheet1[[#This Row],[Open Date]],"mmm")</f>
        <v>Sep</v>
      </c>
    </row>
    <row r="657" spans="1:12" x14ac:dyDescent="0.3">
      <c r="A657" t="s">
        <v>917</v>
      </c>
      <c r="B657" t="s">
        <v>30</v>
      </c>
      <c r="C657" t="s">
        <v>161</v>
      </c>
      <c r="D657" t="s">
        <v>38</v>
      </c>
      <c r="E657" t="s">
        <v>242</v>
      </c>
      <c r="F657" t="s">
        <v>40</v>
      </c>
      <c r="G657" t="s">
        <v>59</v>
      </c>
      <c r="H657" s="1">
        <v>45556</v>
      </c>
      <c r="I657" s="1">
        <v>45556</v>
      </c>
      <c r="J657">
        <f>Sheet1[[#This Row],[Close Date]]-Sheet1[[#This Row],[Open Date]]</f>
        <v>0</v>
      </c>
      <c r="K657" t="str">
        <f>IF(Sheet1[[#This Row],[Actual Days]]&gt;=1,"Not Met","Met")</f>
        <v>Met</v>
      </c>
      <c r="L657" t="str">
        <f>TEXT(Sheet1[[#This Row],[Open Date]],"mmm")</f>
        <v>Sep</v>
      </c>
    </row>
    <row r="658" spans="1:12" x14ac:dyDescent="0.3">
      <c r="A658" t="s">
        <v>918</v>
      </c>
      <c r="B658" t="s">
        <v>22</v>
      </c>
      <c r="C658" t="s">
        <v>23</v>
      </c>
      <c r="D658" t="s">
        <v>94</v>
      </c>
      <c r="E658" t="s">
        <v>244</v>
      </c>
      <c r="F658" t="s">
        <v>40</v>
      </c>
      <c r="G658" t="s">
        <v>27</v>
      </c>
      <c r="H658" s="1">
        <v>45598</v>
      </c>
      <c r="I658" s="1">
        <v>45598</v>
      </c>
      <c r="J658">
        <f>Sheet1[[#This Row],[Close Date]]-Sheet1[[#This Row],[Open Date]]</f>
        <v>0</v>
      </c>
      <c r="K658" t="str">
        <f>IF(Sheet1[[#This Row],[Actual Days]]&gt;=1,"Not Met","Met")</f>
        <v>Met</v>
      </c>
      <c r="L658" t="str">
        <f>TEXT(Sheet1[[#This Row],[Open Date]],"mmm")</f>
        <v>Nov</v>
      </c>
    </row>
    <row r="659" spans="1:12" x14ac:dyDescent="0.3">
      <c r="A659" t="s">
        <v>919</v>
      </c>
      <c r="B659" t="s">
        <v>36</v>
      </c>
      <c r="C659" t="s">
        <v>62</v>
      </c>
      <c r="D659" t="s">
        <v>87</v>
      </c>
      <c r="E659" t="s">
        <v>246</v>
      </c>
      <c r="F659" t="s">
        <v>26</v>
      </c>
      <c r="G659" t="s">
        <v>34</v>
      </c>
      <c r="H659" s="1">
        <v>45483</v>
      </c>
      <c r="I659" s="1">
        <v>45483</v>
      </c>
      <c r="J659">
        <f>Sheet1[[#This Row],[Close Date]]-Sheet1[[#This Row],[Open Date]]</f>
        <v>0</v>
      </c>
      <c r="K659" t="str">
        <f>IF(Sheet1[[#This Row],[Actual Days]]&gt;=1,"Not Met","Met")</f>
        <v>Met</v>
      </c>
      <c r="L659" t="str">
        <f>TEXT(Sheet1[[#This Row],[Open Date]],"mmm")</f>
        <v>Jul</v>
      </c>
    </row>
    <row r="660" spans="1:12" x14ac:dyDescent="0.3">
      <c r="A660" t="s">
        <v>920</v>
      </c>
      <c r="B660" t="s">
        <v>13</v>
      </c>
      <c r="C660" t="s">
        <v>14</v>
      </c>
      <c r="D660" t="s">
        <v>24</v>
      </c>
      <c r="E660" t="s">
        <v>248</v>
      </c>
      <c r="F660" t="s">
        <v>17</v>
      </c>
      <c r="G660" t="s">
        <v>18</v>
      </c>
      <c r="H660" s="1">
        <v>45582</v>
      </c>
      <c r="I660" s="1">
        <v>45582</v>
      </c>
      <c r="J660">
        <f>Sheet1[[#This Row],[Close Date]]-Sheet1[[#This Row],[Open Date]]</f>
        <v>0</v>
      </c>
      <c r="K660" t="str">
        <f>IF(Sheet1[[#This Row],[Actual Days]]&gt;=1,"Not Met","Met")</f>
        <v>Met</v>
      </c>
      <c r="L660" t="str">
        <f>TEXT(Sheet1[[#This Row],[Open Date]],"mmm")</f>
        <v>Oct</v>
      </c>
    </row>
    <row r="661" spans="1:12" x14ac:dyDescent="0.3">
      <c r="A661" t="s">
        <v>921</v>
      </c>
      <c r="B661" t="s">
        <v>22</v>
      </c>
      <c r="C661" t="s">
        <v>23</v>
      </c>
      <c r="D661" t="s">
        <v>73</v>
      </c>
      <c r="E661" t="s">
        <v>250</v>
      </c>
      <c r="F661" t="s">
        <v>26</v>
      </c>
      <c r="G661" t="s">
        <v>49</v>
      </c>
      <c r="H661" s="1">
        <v>45557</v>
      </c>
      <c r="I661" s="1">
        <v>45557</v>
      </c>
      <c r="J661">
        <f>Sheet1[[#This Row],[Close Date]]-Sheet1[[#This Row],[Open Date]]</f>
        <v>0</v>
      </c>
      <c r="K661" t="str">
        <f>IF(Sheet1[[#This Row],[Actual Days]]&gt;=1,"Not Met","Met")</f>
        <v>Met</v>
      </c>
      <c r="L661" t="str">
        <f>TEXT(Sheet1[[#This Row],[Open Date]],"mmm")</f>
        <v>Sep</v>
      </c>
    </row>
    <row r="662" spans="1:12" x14ac:dyDescent="0.3">
      <c r="A662" t="s">
        <v>922</v>
      </c>
      <c r="B662" t="s">
        <v>30</v>
      </c>
      <c r="C662" t="s">
        <v>31</v>
      </c>
      <c r="D662" t="s">
        <v>94</v>
      </c>
      <c r="E662" t="s">
        <v>252</v>
      </c>
      <c r="F662" t="s">
        <v>40</v>
      </c>
      <c r="G662" t="s">
        <v>18</v>
      </c>
      <c r="H662" s="1">
        <v>45540</v>
      </c>
      <c r="I662" s="1">
        <v>45540</v>
      </c>
      <c r="J662">
        <f>Sheet1[[#This Row],[Close Date]]-Sheet1[[#This Row],[Open Date]]</f>
        <v>0</v>
      </c>
      <c r="K662" t="str">
        <f>IF(Sheet1[[#This Row],[Actual Days]]&gt;=1,"Not Met","Met")</f>
        <v>Met</v>
      </c>
      <c r="L662" t="str">
        <f>TEXT(Sheet1[[#This Row],[Open Date]],"mmm")</f>
        <v>Sep</v>
      </c>
    </row>
    <row r="663" spans="1:12" x14ac:dyDescent="0.3">
      <c r="A663" t="s">
        <v>923</v>
      </c>
      <c r="B663" t="s">
        <v>22</v>
      </c>
      <c r="C663" t="s">
        <v>101</v>
      </c>
      <c r="D663" t="s">
        <v>73</v>
      </c>
      <c r="E663" t="s">
        <v>254</v>
      </c>
      <c r="F663" t="s">
        <v>26</v>
      </c>
      <c r="G663" t="s">
        <v>34</v>
      </c>
      <c r="H663" s="1">
        <v>45503</v>
      </c>
      <c r="I663" s="1">
        <v>45503</v>
      </c>
      <c r="J663">
        <f>Sheet1[[#This Row],[Close Date]]-Sheet1[[#This Row],[Open Date]]</f>
        <v>0</v>
      </c>
      <c r="K663" t="str">
        <f>IF(Sheet1[[#This Row],[Actual Days]]&gt;=1,"Not Met","Met")</f>
        <v>Met</v>
      </c>
      <c r="L663" t="str">
        <f>TEXT(Sheet1[[#This Row],[Open Date]],"mmm")</f>
        <v>Jul</v>
      </c>
    </row>
    <row r="664" spans="1:12" x14ac:dyDescent="0.3">
      <c r="A664" t="s">
        <v>924</v>
      </c>
      <c r="B664" t="s">
        <v>42</v>
      </c>
      <c r="C664" t="s">
        <v>104</v>
      </c>
      <c r="D664" t="s">
        <v>38</v>
      </c>
      <c r="E664" t="s">
        <v>256</v>
      </c>
      <c r="F664" t="s">
        <v>40</v>
      </c>
      <c r="G664" t="s">
        <v>59</v>
      </c>
      <c r="H664" s="1">
        <v>45485</v>
      </c>
      <c r="I664" s="1">
        <v>45485</v>
      </c>
      <c r="J664">
        <f>Sheet1[[#This Row],[Close Date]]-Sheet1[[#This Row],[Open Date]]</f>
        <v>0</v>
      </c>
      <c r="K664" t="str">
        <f>IF(Sheet1[[#This Row],[Actual Days]]&gt;=1,"Not Met","Met")</f>
        <v>Met</v>
      </c>
      <c r="L664" t="str">
        <f>TEXT(Sheet1[[#This Row],[Open Date]],"mmm")</f>
        <v>Jul</v>
      </c>
    </row>
    <row r="665" spans="1:12" x14ac:dyDescent="0.3">
      <c r="A665" t="s">
        <v>925</v>
      </c>
      <c r="B665" t="s">
        <v>42</v>
      </c>
      <c r="C665" t="s">
        <v>107</v>
      </c>
      <c r="D665" t="s">
        <v>94</v>
      </c>
      <c r="E665" t="s">
        <v>258</v>
      </c>
      <c r="F665" t="s">
        <v>26</v>
      </c>
      <c r="G665" t="s">
        <v>49</v>
      </c>
      <c r="H665" s="1">
        <v>45617</v>
      </c>
      <c r="I665" s="1">
        <v>45617</v>
      </c>
      <c r="J665">
        <f>Sheet1[[#This Row],[Close Date]]-Sheet1[[#This Row],[Open Date]]</f>
        <v>0</v>
      </c>
      <c r="K665" t="str">
        <f>IF(Sheet1[[#This Row],[Actual Days]]&gt;=1,"Not Met","Met")</f>
        <v>Met</v>
      </c>
      <c r="L665" t="str">
        <f>TEXT(Sheet1[[#This Row],[Open Date]],"mmm")</f>
        <v>Nov</v>
      </c>
    </row>
    <row r="666" spans="1:12" x14ac:dyDescent="0.3">
      <c r="A666" t="s">
        <v>926</v>
      </c>
      <c r="B666" t="s">
        <v>30</v>
      </c>
      <c r="C666" t="s">
        <v>51</v>
      </c>
      <c r="D666" t="s">
        <v>94</v>
      </c>
      <c r="E666" t="s">
        <v>260</v>
      </c>
      <c r="F666" t="s">
        <v>40</v>
      </c>
      <c r="G666" t="s">
        <v>27</v>
      </c>
      <c r="H666" s="1">
        <v>45599</v>
      </c>
      <c r="I666" s="1">
        <v>45599</v>
      </c>
      <c r="J666">
        <f>Sheet1[[#This Row],[Close Date]]-Sheet1[[#This Row],[Open Date]]</f>
        <v>0</v>
      </c>
      <c r="K666" t="str">
        <f>IF(Sheet1[[#This Row],[Actual Days]]&gt;=1,"Not Met","Met")</f>
        <v>Met</v>
      </c>
      <c r="L666" t="str">
        <f>TEXT(Sheet1[[#This Row],[Open Date]],"mmm")</f>
        <v>Nov</v>
      </c>
    </row>
    <row r="667" spans="1:12" x14ac:dyDescent="0.3">
      <c r="A667" t="s">
        <v>927</v>
      </c>
      <c r="B667" t="s">
        <v>42</v>
      </c>
      <c r="C667" t="s">
        <v>107</v>
      </c>
      <c r="D667" t="s">
        <v>32</v>
      </c>
      <c r="E667" t="s">
        <v>262</v>
      </c>
      <c r="F667" t="s">
        <v>40</v>
      </c>
      <c r="G667" t="s">
        <v>59</v>
      </c>
      <c r="H667" s="1">
        <v>45605</v>
      </c>
      <c r="I667" s="1">
        <v>45605</v>
      </c>
      <c r="J667">
        <f>Sheet1[[#This Row],[Close Date]]-Sheet1[[#This Row],[Open Date]]</f>
        <v>0</v>
      </c>
      <c r="K667" t="str">
        <f>IF(Sheet1[[#This Row],[Actual Days]]&gt;=1,"Not Met","Met")</f>
        <v>Met</v>
      </c>
      <c r="L667" t="str">
        <f>TEXT(Sheet1[[#This Row],[Open Date]],"mmm")</f>
        <v>Nov</v>
      </c>
    </row>
    <row r="668" spans="1:12" x14ac:dyDescent="0.3">
      <c r="A668" t="s">
        <v>928</v>
      </c>
      <c r="B668" t="s">
        <v>42</v>
      </c>
      <c r="C668" t="s">
        <v>43</v>
      </c>
      <c r="D668" t="s">
        <v>156</v>
      </c>
      <c r="E668" t="s">
        <v>264</v>
      </c>
      <c r="F668" t="s">
        <v>26</v>
      </c>
      <c r="G668" t="s">
        <v>59</v>
      </c>
      <c r="H668" s="1">
        <v>45614</v>
      </c>
      <c r="I668" s="1">
        <v>45614</v>
      </c>
      <c r="J668">
        <f>Sheet1[[#This Row],[Close Date]]-Sheet1[[#This Row],[Open Date]]</f>
        <v>0</v>
      </c>
      <c r="K668" t="str">
        <f>IF(Sheet1[[#This Row],[Actual Days]]&gt;=1,"Not Met","Met")</f>
        <v>Met</v>
      </c>
      <c r="L668" t="str">
        <f>TEXT(Sheet1[[#This Row],[Open Date]],"mmm")</f>
        <v>Nov</v>
      </c>
    </row>
    <row r="669" spans="1:12" x14ac:dyDescent="0.3">
      <c r="A669" t="s">
        <v>929</v>
      </c>
      <c r="B669" t="s">
        <v>30</v>
      </c>
      <c r="C669" t="s">
        <v>51</v>
      </c>
      <c r="D669" t="s">
        <v>156</v>
      </c>
      <c r="E669" t="s">
        <v>266</v>
      </c>
      <c r="F669" t="s">
        <v>17</v>
      </c>
      <c r="G669" t="s">
        <v>45</v>
      </c>
      <c r="H669" s="1">
        <v>45595</v>
      </c>
      <c r="I669" s="1">
        <v>45595</v>
      </c>
      <c r="J669">
        <f>Sheet1[[#This Row],[Close Date]]-Sheet1[[#This Row],[Open Date]]</f>
        <v>0</v>
      </c>
      <c r="K669" t="str">
        <f>IF(Sheet1[[#This Row],[Actual Days]]&gt;=1,"Not Met","Met")</f>
        <v>Met</v>
      </c>
      <c r="L669" t="str">
        <f>TEXT(Sheet1[[#This Row],[Open Date]],"mmm")</f>
        <v>Oct</v>
      </c>
    </row>
    <row r="670" spans="1:12" x14ac:dyDescent="0.3">
      <c r="A670" t="s">
        <v>930</v>
      </c>
      <c r="B670" t="s">
        <v>42</v>
      </c>
      <c r="C670" t="s">
        <v>107</v>
      </c>
      <c r="D670" t="s">
        <v>38</v>
      </c>
      <c r="E670" t="s">
        <v>268</v>
      </c>
      <c r="F670" t="s">
        <v>26</v>
      </c>
      <c r="G670" t="s">
        <v>34</v>
      </c>
      <c r="H670" s="1">
        <v>45574</v>
      </c>
      <c r="I670" s="1">
        <v>45574</v>
      </c>
      <c r="J670">
        <f>Sheet1[[#This Row],[Close Date]]-Sheet1[[#This Row],[Open Date]]</f>
        <v>0</v>
      </c>
      <c r="K670" t="str">
        <f>IF(Sheet1[[#This Row],[Actual Days]]&gt;=1,"Not Met","Met")</f>
        <v>Met</v>
      </c>
      <c r="L670" t="str">
        <f>TEXT(Sheet1[[#This Row],[Open Date]],"mmm")</f>
        <v>Oct</v>
      </c>
    </row>
    <row r="671" spans="1:12" x14ac:dyDescent="0.3">
      <c r="A671" t="s">
        <v>931</v>
      </c>
      <c r="B671" t="s">
        <v>36</v>
      </c>
      <c r="C671" t="s">
        <v>76</v>
      </c>
      <c r="D671" t="s">
        <v>24</v>
      </c>
      <c r="E671" t="s">
        <v>270</v>
      </c>
      <c r="F671" t="s">
        <v>40</v>
      </c>
      <c r="G671" t="s">
        <v>45</v>
      </c>
      <c r="H671" s="1">
        <v>45591</v>
      </c>
      <c r="I671" s="1">
        <v>45591</v>
      </c>
      <c r="J671">
        <f>Sheet1[[#This Row],[Close Date]]-Sheet1[[#This Row],[Open Date]]</f>
        <v>0</v>
      </c>
      <c r="K671" t="str">
        <f>IF(Sheet1[[#This Row],[Actual Days]]&gt;=1,"Not Met","Met")</f>
        <v>Met</v>
      </c>
      <c r="L671" t="str">
        <f>TEXT(Sheet1[[#This Row],[Open Date]],"mmm")</f>
        <v>Oct</v>
      </c>
    </row>
    <row r="672" spans="1:12" x14ac:dyDescent="0.3">
      <c r="A672" t="s">
        <v>932</v>
      </c>
      <c r="B672" t="s">
        <v>30</v>
      </c>
      <c r="C672" t="s">
        <v>51</v>
      </c>
      <c r="D672" t="s">
        <v>32</v>
      </c>
      <c r="E672" t="s">
        <v>272</v>
      </c>
      <c r="F672" t="s">
        <v>40</v>
      </c>
      <c r="G672" t="s">
        <v>27</v>
      </c>
      <c r="H672" s="1">
        <v>45540</v>
      </c>
      <c r="I672" s="1">
        <v>45541</v>
      </c>
      <c r="J672">
        <f>Sheet1[[#This Row],[Close Date]]-Sheet1[[#This Row],[Open Date]]</f>
        <v>1</v>
      </c>
      <c r="K672" t="str">
        <f>IF(Sheet1[[#This Row],[Actual Days]]&gt;=1,"Not Met","Met")</f>
        <v>Not Met</v>
      </c>
      <c r="L672" t="str">
        <f>TEXT(Sheet1[[#This Row],[Open Date]],"mmm")</f>
        <v>Sep</v>
      </c>
    </row>
    <row r="673" spans="1:12" x14ac:dyDescent="0.3">
      <c r="A673" t="s">
        <v>933</v>
      </c>
      <c r="B673" t="s">
        <v>30</v>
      </c>
      <c r="C673" t="s">
        <v>31</v>
      </c>
      <c r="D673" t="s">
        <v>38</v>
      </c>
      <c r="E673" t="s">
        <v>274</v>
      </c>
      <c r="F673" t="s">
        <v>40</v>
      </c>
      <c r="G673" t="s">
        <v>34</v>
      </c>
      <c r="H673" s="1">
        <v>45614</v>
      </c>
      <c r="I673" s="1">
        <v>45614</v>
      </c>
      <c r="J673">
        <f>Sheet1[[#This Row],[Close Date]]-Sheet1[[#This Row],[Open Date]]</f>
        <v>0</v>
      </c>
      <c r="K673" t="str">
        <f>IF(Sheet1[[#This Row],[Actual Days]]&gt;=1,"Not Met","Met")</f>
        <v>Met</v>
      </c>
      <c r="L673" t="str">
        <f>TEXT(Sheet1[[#This Row],[Open Date]],"mmm")</f>
        <v>Nov</v>
      </c>
    </row>
    <row r="674" spans="1:12" x14ac:dyDescent="0.3">
      <c r="A674" t="s">
        <v>934</v>
      </c>
      <c r="B674" t="s">
        <v>13</v>
      </c>
      <c r="C674" t="s">
        <v>14</v>
      </c>
      <c r="D674" t="s">
        <v>87</v>
      </c>
      <c r="E674" t="s">
        <v>276</v>
      </c>
      <c r="F674" t="s">
        <v>17</v>
      </c>
      <c r="G674" t="s">
        <v>59</v>
      </c>
      <c r="H674" s="1">
        <v>45544</v>
      </c>
      <c r="I674" s="1">
        <v>45544</v>
      </c>
      <c r="J674">
        <f>Sheet1[[#This Row],[Close Date]]-Sheet1[[#This Row],[Open Date]]</f>
        <v>0</v>
      </c>
      <c r="K674" t="str">
        <f>IF(Sheet1[[#This Row],[Actual Days]]&gt;=1,"Not Met","Met")</f>
        <v>Met</v>
      </c>
      <c r="L674" t="str">
        <f>TEXT(Sheet1[[#This Row],[Open Date]],"mmm")</f>
        <v>Sep</v>
      </c>
    </row>
    <row r="675" spans="1:12" x14ac:dyDescent="0.3">
      <c r="A675" t="s">
        <v>935</v>
      </c>
      <c r="B675" t="s">
        <v>42</v>
      </c>
      <c r="C675" t="s">
        <v>104</v>
      </c>
      <c r="D675" t="s">
        <v>15</v>
      </c>
      <c r="E675" t="s">
        <v>278</v>
      </c>
      <c r="F675" t="s">
        <v>40</v>
      </c>
      <c r="G675" t="s">
        <v>45</v>
      </c>
      <c r="H675" s="1">
        <v>45500</v>
      </c>
      <c r="I675" s="1">
        <v>45500</v>
      </c>
      <c r="J675">
        <f>Sheet1[[#This Row],[Close Date]]-Sheet1[[#This Row],[Open Date]]</f>
        <v>0</v>
      </c>
      <c r="K675" t="str">
        <f>IF(Sheet1[[#This Row],[Actual Days]]&gt;=1,"Not Met","Met")</f>
        <v>Met</v>
      </c>
      <c r="L675" t="str">
        <f>TEXT(Sheet1[[#This Row],[Open Date]],"mmm")</f>
        <v>Jul</v>
      </c>
    </row>
    <row r="676" spans="1:12" x14ac:dyDescent="0.3">
      <c r="A676" t="s">
        <v>936</v>
      </c>
      <c r="B676" t="s">
        <v>30</v>
      </c>
      <c r="C676" t="s">
        <v>161</v>
      </c>
      <c r="D676" t="s">
        <v>38</v>
      </c>
      <c r="E676" t="s">
        <v>280</v>
      </c>
      <c r="F676" t="s">
        <v>26</v>
      </c>
      <c r="G676" t="s">
        <v>49</v>
      </c>
      <c r="H676" s="1">
        <v>45495</v>
      </c>
      <c r="I676" s="1">
        <v>45495</v>
      </c>
      <c r="J676">
        <f>Sheet1[[#This Row],[Close Date]]-Sheet1[[#This Row],[Open Date]]</f>
        <v>0</v>
      </c>
      <c r="K676" t="str">
        <f>IF(Sheet1[[#This Row],[Actual Days]]&gt;=1,"Not Met","Met")</f>
        <v>Met</v>
      </c>
      <c r="L676" t="str">
        <f>TEXT(Sheet1[[#This Row],[Open Date]],"mmm")</f>
        <v>Jul</v>
      </c>
    </row>
    <row r="677" spans="1:12" x14ac:dyDescent="0.3">
      <c r="A677" t="s">
        <v>937</v>
      </c>
      <c r="B677" t="s">
        <v>22</v>
      </c>
      <c r="C677" t="s">
        <v>101</v>
      </c>
      <c r="D677" t="s">
        <v>32</v>
      </c>
      <c r="E677" t="s">
        <v>282</v>
      </c>
      <c r="F677" t="s">
        <v>26</v>
      </c>
      <c r="G677" t="s">
        <v>49</v>
      </c>
      <c r="H677" s="1">
        <v>45562</v>
      </c>
      <c r="I677" s="1">
        <v>45562</v>
      </c>
      <c r="J677">
        <f>Sheet1[[#This Row],[Close Date]]-Sheet1[[#This Row],[Open Date]]</f>
        <v>0</v>
      </c>
      <c r="K677" t="str">
        <f>IF(Sheet1[[#This Row],[Actual Days]]&gt;=1,"Not Met","Met")</f>
        <v>Met</v>
      </c>
      <c r="L677" t="str">
        <f>TEXT(Sheet1[[#This Row],[Open Date]],"mmm")</f>
        <v>Sep</v>
      </c>
    </row>
    <row r="678" spans="1:12" x14ac:dyDescent="0.3">
      <c r="A678" t="s">
        <v>938</v>
      </c>
      <c r="B678" t="s">
        <v>36</v>
      </c>
      <c r="C678" t="s">
        <v>37</v>
      </c>
      <c r="D678" t="s">
        <v>38</v>
      </c>
      <c r="E678" t="s">
        <v>284</v>
      </c>
      <c r="F678" t="s">
        <v>17</v>
      </c>
      <c r="G678" t="s">
        <v>27</v>
      </c>
      <c r="H678" s="1">
        <v>45549</v>
      </c>
      <c r="I678" s="1">
        <v>45549</v>
      </c>
      <c r="J678">
        <f>Sheet1[[#This Row],[Close Date]]-Sheet1[[#This Row],[Open Date]]</f>
        <v>0</v>
      </c>
      <c r="K678" t="str">
        <f>IF(Sheet1[[#This Row],[Actual Days]]&gt;=1,"Not Met","Met")</f>
        <v>Met</v>
      </c>
      <c r="L678" t="str">
        <f>TEXT(Sheet1[[#This Row],[Open Date]],"mmm")</f>
        <v>Sep</v>
      </c>
    </row>
    <row r="679" spans="1:12" x14ac:dyDescent="0.3">
      <c r="A679" t="s">
        <v>939</v>
      </c>
      <c r="B679" t="s">
        <v>13</v>
      </c>
      <c r="C679" t="s">
        <v>65</v>
      </c>
      <c r="D679" t="s">
        <v>73</v>
      </c>
      <c r="E679" t="s">
        <v>286</v>
      </c>
      <c r="F679" t="s">
        <v>17</v>
      </c>
      <c r="G679" t="s">
        <v>49</v>
      </c>
      <c r="H679" s="1">
        <v>45576</v>
      </c>
      <c r="I679" s="1">
        <v>45576</v>
      </c>
      <c r="J679">
        <f>Sheet1[[#This Row],[Close Date]]-Sheet1[[#This Row],[Open Date]]</f>
        <v>0</v>
      </c>
      <c r="K679" t="str">
        <f>IF(Sheet1[[#This Row],[Actual Days]]&gt;=1,"Not Met","Met")</f>
        <v>Met</v>
      </c>
      <c r="L679" t="str">
        <f>TEXT(Sheet1[[#This Row],[Open Date]],"mmm")</f>
        <v>Oct</v>
      </c>
    </row>
    <row r="680" spans="1:12" x14ac:dyDescent="0.3">
      <c r="A680" t="s">
        <v>940</v>
      </c>
      <c r="B680" t="s">
        <v>30</v>
      </c>
      <c r="C680" t="s">
        <v>31</v>
      </c>
      <c r="D680" t="s">
        <v>73</v>
      </c>
      <c r="E680" t="s">
        <v>288</v>
      </c>
      <c r="F680" t="s">
        <v>26</v>
      </c>
      <c r="G680" t="s">
        <v>27</v>
      </c>
      <c r="H680" s="1">
        <v>45616</v>
      </c>
      <c r="I680" s="1">
        <v>45616</v>
      </c>
      <c r="J680">
        <f>Sheet1[[#This Row],[Close Date]]-Sheet1[[#This Row],[Open Date]]</f>
        <v>0</v>
      </c>
      <c r="K680" t="str">
        <f>IF(Sheet1[[#This Row],[Actual Days]]&gt;=1,"Not Met","Met")</f>
        <v>Met</v>
      </c>
      <c r="L680" t="str">
        <f>TEXT(Sheet1[[#This Row],[Open Date]],"mmm")</f>
        <v>Nov</v>
      </c>
    </row>
    <row r="681" spans="1:12" x14ac:dyDescent="0.3">
      <c r="A681" t="s">
        <v>941</v>
      </c>
      <c r="B681" t="s">
        <v>30</v>
      </c>
      <c r="C681" t="s">
        <v>161</v>
      </c>
      <c r="D681" t="s">
        <v>87</v>
      </c>
      <c r="E681" t="s">
        <v>290</v>
      </c>
      <c r="F681" t="s">
        <v>40</v>
      </c>
      <c r="G681" t="s">
        <v>59</v>
      </c>
      <c r="H681" s="1">
        <v>45478</v>
      </c>
      <c r="I681" s="1">
        <v>45478</v>
      </c>
      <c r="J681">
        <f>Sheet1[[#This Row],[Close Date]]-Sheet1[[#This Row],[Open Date]]</f>
        <v>0</v>
      </c>
      <c r="K681" t="str">
        <f>IF(Sheet1[[#This Row],[Actual Days]]&gt;=1,"Not Met","Met")</f>
        <v>Met</v>
      </c>
      <c r="L681" t="str">
        <f>TEXT(Sheet1[[#This Row],[Open Date]],"mmm")</f>
        <v>Jul</v>
      </c>
    </row>
    <row r="682" spans="1:12" x14ac:dyDescent="0.3">
      <c r="A682" t="s">
        <v>942</v>
      </c>
      <c r="B682" t="s">
        <v>22</v>
      </c>
      <c r="C682" t="s">
        <v>84</v>
      </c>
      <c r="D682" t="s">
        <v>156</v>
      </c>
      <c r="E682" t="s">
        <v>292</v>
      </c>
      <c r="F682" t="s">
        <v>40</v>
      </c>
      <c r="G682" t="s">
        <v>59</v>
      </c>
      <c r="H682" s="1">
        <v>45569</v>
      </c>
      <c r="I682" s="1">
        <v>45569</v>
      </c>
      <c r="J682">
        <f>Sheet1[[#This Row],[Close Date]]-Sheet1[[#This Row],[Open Date]]</f>
        <v>0</v>
      </c>
      <c r="K682" t="str">
        <f>IF(Sheet1[[#This Row],[Actual Days]]&gt;=1,"Not Met","Met")</f>
        <v>Met</v>
      </c>
      <c r="L682" t="str">
        <f>TEXT(Sheet1[[#This Row],[Open Date]],"mmm")</f>
        <v>Oct</v>
      </c>
    </row>
    <row r="683" spans="1:12" x14ac:dyDescent="0.3">
      <c r="A683" t="s">
        <v>943</v>
      </c>
      <c r="B683" t="s">
        <v>42</v>
      </c>
      <c r="C683" t="s">
        <v>107</v>
      </c>
      <c r="D683" t="s">
        <v>87</v>
      </c>
      <c r="E683" t="s">
        <v>294</v>
      </c>
      <c r="F683" t="s">
        <v>26</v>
      </c>
      <c r="G683" t="s">
        <v>18</v>
      </c>
      <c r="H683" s="1">
        <v>45589</v>
      </c>
      <c r="I683" s="1">
        <v>45589</v>
      </c>
      <c r="J683">
        <f>Sheet1[[#This Row],[Close Date]]-Sheet1[[#This Row],[Open Date]]</f>
        <v>0</v>
      </c>
      <c r="K683" t="str">
        <f>IF(Sheet1[[#This Row],[Actual Days]]&gt;=1,"Not Met","Met")</f>
        <v>Met</v>
      </c>
      <c r="L683" t="str">
        <f>TEXT(Sheet1[[#This Row],[Open Date]],"mmm")</f>
        <v>Oct</v>
      </c>
    </row>
    <row r="684" spans="1:12" x14ac:dyDescent="0.3">
      <c r="A684" t="s">
        <v>944</v>
      </c>
      <c r="B684" t="s">
        <v>22</v>
      </c>
      <c r="C684" t="s">
        <v>23</v>
      </c>
      <c r="D684" t="s">
        <v>73</v>
      </c>
      <c r="E684" t="s">
        <v>296</v>
      </c>
      <c r="F684" t="s">
        <v>17</v>
      </c>
      <c r="G684" t="s">
        <v>59</v>
      </c>
      <c r="H684" s="1">
        <v>45520</v>
      </c>
      <c r="I684" s="1">
        <v>45520</v>
      </c>
      <c r="J684">
        <f>Sheet1[[#This Row],[Close Date]]-Sheet1[[#This Row],[Open Date]]</f>
        <v>0</v>
      </c>
      <c r="K684" t="str">
        <f>IF(Sheet1[[#This Row],[Actual Days]]&gt;=1,"Not Met","Met")</f>
        <v>Met</v>
      </c>
      <c r="L684" t="str">
        <f>TEXT(Sheet1[[#This Row],[Open Date]],"mmm")</f>
        <v>Aug</v>
      </c>
    </row>
    <row r="685" spans="1:12" x14ac:dyDescent="0.3">
      <c r="A685" t="s">
        <v>945</v>
      </c>
      <c r="B685" t="s">
        <v>13</v>
      </c>
      <c r="C685" t="s">
        <v>14</v>
      </c>
      <c r="D685" t="s">
        <v>24</v>
      </c>
      <c r="E685" t="s">
        <v>298</v>
      </c>
      <c r="F685" t="s">
        <v>26</v>
      </c>
      <c r="G685" t="s">
        <v>27</v>
      </c>
      <c r="H685" s="1">
        <v>45586</v>
      </c>
      <c r="I685" s="1">
        <v>45586</v>
      </c>
      <c r="J685">
        <f>Sheet1[[#This Row],[Close Date]]-Sheet1[[#This Row],[Open Date]]</f>
        <v>0</v>
      </c>
      <c r="K685" t="str">
        <f>IF(Sheet1[[#This Row],[Actual Days]]&gt;=1,"Not Met","Met")</f>
        <v>Met</v>
      </c>
      <c r="L685" t="str">
        <f>TEXT(Sheet1[[#This Row],[Open Date]],"mmm")</f>
        <v>Oct</v>
      </c>
    </row>
    <row r="686" spans="1:12" x14ac:dyDescent="0.3">
      <c r="A686" t="s">
        <v>946</v>
      </c>
      <c r="B686" t="s">
        <v>22</v>
      </c>
      <c r="C686" t="s">
        <v>84</v>
      </c>
      <c r="D686" t="s">
        <v>24</v>
      </c>
      <c r="E686" t="s">
        <v>300</v>
      </c>
      <c r="F686" t="s">
        <v>26</v>
      </c>
      <c r="G686" t="s">
        <v>45</v>
      </c>
      <c r="H686" s="1">
        <v>45633</v>
      </c>
      <c r="I686" s="1">
        <v>45633</v>
      </c>
      <c r="J686">
        <f>Sheet1[[#This Row],[Close Date]]-Sheet1[[#This Row],[Open Date]]</f>
        <v>0</v>
      </c>
      <c r="K686" t="str">
        <f>IF(Sheet1[[#This Row],[Actual Days]]&gt;=1,"Not Met","Met")</f>
        <v>Met</v>
      </c>
      <c r="L686" t="str">
        <f>TEXT(Sheet1[[#This Row],[Open Date]],"mmm")</f>
        <v>Dec</v>
      </c>
    </row>
    <row r="687" spans="1:12" x14ac:dyDescent="0.3">
      <c r="A687" t="s">
        <v>947</v>
      </c>
      <c r="B687" t="s">
        <v>36</v>
      </c>
      <c r="C687" t="s">
        <v>37</v>
      </c>
      <c r="D687" t="s">
        <v>87</v>
      </c>
      <c r="E687" t="s">
        <v>302</v>
      </c>
      <c r="F687" t="s">
        <v>40</v>
      </c>
      <c r="G687" t="s">
        <v>59</v>
      </c>
      <c r="H687" s="1">
        <v>45481</v>
      </c>
      <c r="I687" s="1">
        <v>45481</v>
      </c>
      <c r="J687">
        <f>Sheet1[[#This Row],[Close Date]]-Sheet1[[#This Row],[Open Date]]</f>
        <v>0</v>
      </c>
      <c r="K687" t="str">
        <f>IF(Sheet1[[#This Row],[Actual Days]]&gt;=1,"Not Met","Met")</f>
        <v>Met</v>
      </c>
      <c r="L687" t="str">
        <f>TEXT(Sheet1[[#This Row],[Open Date]],"mmm")</f>
        <v>Jul</v>
      </c>
    </row>
    <row r="688" spans="1:12" x14ac:dyDescent="0.3">
      <c r="A688" t="s">
        <v>948</v>
      </c>
      <c r="B688" t="s">
        <v>36</v>
      </c>
      <c r="C688" t="s">
        <v>62</v>
      </c>
      <c r="D688" t="s">
        <v>156</v>
      </c>
      <c r="E688" t="s">
        <v>304</v>
      </c>
      <c r="F688" t="s">
        <v>17</v>
      </c>
      <c r="G688" t="s">
        <v>59</v>
      </c>
      <c r="H688" s="1">
        <v>45616</v>
      </c>
      <c r="I688" s="1">
        <v>45616</v>
      </c>
      <c r="J688">
        <f>Sheet1[[#This Row],[Close Date]]-Sheet1[[#This Row],[Open Date]]</f>
        <v>0</v>
      </c>
      <c r="K688" t="str">
        <f>IF(Sheet1[[#This Row],[Actual Days]]&gt;=1,"Not Met","Met")</f>
        <v>Met</v>
      </c>
      <c r="L688" t="str">
        <f>TEXT(Sheet1[[#This Row],[Open Date]],"mmm")</f>
        <v>Nov</v>
      </c>
    </row>
    <row r="689" spans="1:12" x14ac:dyDescent="0.3">
      <c r="A689" t="s">
        <v>949</v>
      </c>
      <c r="B689" t="s">
        <v>30</v>
      </c>
      <c r="C689" t="s">
        <v>31</v>
      </c>
      <c r="D689" t="s">
        <v>94</v>
      </c>
      <c r="E689" t="s">
        <v>306</v>
      </c>
      <c r="F689" t="s">
        <v>26</v>
      </c>
      <c r="G689" t="s">
        <v>18</v>
      </c>
      <c r="H689" s="1">
        <v>45588</v>
      </c>
      <c r="I689" s="1">
        <v>45588</v>
      </c>
      <c r="J689">
        <f>Sheet1[[#This Row],[Close Date]]-Sheet1[[#This Row],[Open Date]]</f>
        <v>0</v>
      </c>
      <c r="K689" t="str">
        <f>IF(Sheet1[[#This Row],[Actual Days]]&gt;=1,"Not Met","Met")</f>
        <v>Met</v>
      </c>
      <c r="L689" t="str">
        <f>TEXT(Sheet1[[#This Row],[Open Date]],"mmm")</f>
        <v>Oct</v>
      </c>
    </row>
    <row r="690" spans="1:12" x14ac:dyDescent="0.3">
      <c r="A690" t="s">
        <v>950</v>
      </c>
      <c r="B690" t="s">
        <v>42</v>
      </c>
      <c r="C690" t="s">
        <v>43</v>
      </c>
      <c r="D690" t="s">
        <v>15</v>
      </c>
      <c r="E690" t="s">
        <v>308</v>
      </c>
      <c r="F690" t="s">
        <v>26</v>
      </c>
      <c r="G690" t="s">
        <v>45</v>
      </c>
      <c r="H690" s="1">
        <v>45512</v>
      </c>
      <c r="I690" s="1">
        <v>45512</v>
      </c>
      <c r="J690">
        <f>Sheet1[[#This Row],[Close Date]]-Sheet1[[#This Row],[Open Date]]</f>
        <v>0</v>
      </c>
      <c r="K690" t="str">
        <f>IF(Sheet1[[#This Row],[Actual Days]]&gt;=1,"Not Met","Met")</f>
        <v>Met</v>
      </c>
      <c r="L690" t="str">
        <f>TEXT(Sheet1[[#This Row],[Open Date]],"mmm")</f>
        <v>Aug</v>
      </c>
    </row>
    <row r="691" spans="1:12" x14ac:dyDescent="0.3">
      <c r="A691" t="s">
        <v>951</v>
      </c>
      <c r="B691" t="s">
        <v>30</v>
      </c>
      <c r="C691" t="s">
        <v>31</v>
      </c>
      <c r="D691" t="s">
        <v>38</v>
      </c>
      <c r="E691" t="s">
        <v>310</v>
      </c>
      <c r="F691" t="s">
        <v>26</v>
      </c>
      <c r="G691" t="s">
        <v>49</v>
      </c>
      <c r="H691" s="1">
        <v>45598</v>
      </c>
      <c r="I691" s="1">
        <v>45598</v>
      </c>
      <c r="J691">
        <f>Sheet1[[#This Row],[Close Date]]-Sheet1[[#This Row],[Open Date]]</f>
        <v>0</v>
      </c>
      <c r="K691" t="str">
        <f>IF(Sheet1[[#This Row],[Actual Days]]&gt;=1,"Not Met","Met")</f>
        <v>Met</v>
      </c>
      <c r="L691" t="str">
        <f>TEXT(Sheet1[[#This Row],[Open Date]],"mmm")</f>
        <v>Nov</v>
      </c>
    </row>
    <row r="692" spans="1:12" x14ac:dyDescent="0.3">
      <c r="A692" t="s">
        <v>952</v>
      </c>
      <c r="B692" t="s">
        <v>13</v>
      </c>
      <c r="C692" t="s">
        <v>65</v>
      </c>
      <c r="D692" t="s">
        <v>94</v>
      </c>
      <c r="E692" t="s">
        <v>312</v>
      </c>
      <c r="F692" t="s">
        <v>40</v>
      </c>
      <c r="G692" t="s">
        <v>45</v>
      </c>
      <c r="H692" s="1">
        <v>45582</v>
      </c>
      <c r="I692" s="1">
        <v>45582</v>
      </c>
      <c r="J692">
        <f>Sheet1[[#This Row],[Close Date]]-Sheet1[[#This Row],[Open Date]]</f>
        <v>0</v>
      </c>
      <c r="K692" t="str">
        <f>IF(Sheet1[[#This Row],[Actual Days]]&gt;=1,"Not Met","Met")</f>
        <v>Met</v>
      </c>
      <c r="L692" t="str">
        <f>TEXT(Sheet1[[#This Row],[Open Date]],"mmm")</f>
        <v>Oct</v>
      </c>
    </row>
    <row r="693" spans="1:12" x14ac:dyDescent="0.3">
      <c r="A693" t="s">
        <v>953</v>
      </c>
      <c r="B693" t="s">
        <v>30</v>
      </c>
      <c r="C693" t="s">
        <v>51</v>
      </c>
      <c r="D693" t="s">
        <v>73</v>
      </c>
      <c r="E693" t="s">
        <v>314</v>
      </c>
      <c r="F693" t="s">
        <v>17</v>
      </c>
      <c r="G693" t="s">
        <v>18</v>
      </c>
      <c r="H693" s="1">
        <v>45486</v>
      </c>
      <c r="I693" s="1">
        <v>45486</v>
      </c>
      <c r="J693">
        <f>Sheet1[[#This Row],[Close Date]]-Sheet1[[#This Row],[Open Date]]</f>
        <v>0</v>
      </c>
      <c r="K693" t="str">
        <f>IF(Sheet1[[#This Row],[Actual Days]]&gt;=1,"Not Met","Met")</f>
        <v>Met</v>
      </c>
      <c r="L693" t="str">
        <f>TEXT(Sheet1[[#This Row],[Open Date]],"mmm")</f>
        <v>Jul</v>
      </c>
    </row>
    <row r="694" spans="1:12" x14ac:dyDescent="0.3">
      <c r="A694" t="s">
        <v>954</v>
      </c>
      <c r="B694" t="s">
        <v>22</v>
      </c>
      <c r="C694" t="s">
        <v>23</v>
      </c>
      <c r="D694" t="s">
        <v>38</v>
      </c>
      <c r="E694" t="s">
        <v>316</v>
      </c>
      <c r="F694" t="s">
        <v>17</v>
      </c>
      <c r="G694" t="s">
        <v>34</v>
      </c>
      <c r="H694" s="1">
        <v>45487</v>
      </c>
      <c r="I694" s="1">
        <v>45487</v>
      </c>
      <c r="J694">
        <f>Sheet1[[#This Row],[Close Date]]-Sheet1[[#This Row],[Open Date]]</f>
        <v>0</v>
      </c>
      <c r="K694" t="str">
        <f>IF(Sheet1[[#This Row],[Actual Days]]&gt;=1,"Not Met","Met")</f>
        <v>Met</v>
      </c>
      <c r="L694" t="str">
        <f>TEXT(Sheet1[[#This Row],[Open Date]],"mmm")</f>
        <v>Jul</v>
      </c>
    </row>
    <row r="695" spans="1:12" x14ac:dyDescent="0.3">
      <c r="A695" t="s">
        <v>955</v>
      </c>
      <c r="B695" t="s">
        <v>13</v>
      </c>
      <c r="C695" t="s">
        <v>65</v>
      </c>
      <c r="D695" t="s">
        <v>38</v>
      </c>
      <c r="E695" t="s">
        <v>318</v>
      </c>
      <c r="F695" t="s">
        <v>17</v>
      </c>
      <c r="G695" t="s">
        <v>59</v>
      </c>
      <c r="H695" s="1">
        <v>45519</v>
      </c>
      <c r="I695" s="1">
        <v>45519</v>
      </c>
      <c r="J695">
        <f>Sheet1[[#This Row],[Close Date]]-Sheet1[[#This Row],[Open Date]]</f>
        <v>0</v>
      </c>
      <c r="K695" t="str">
        <f>IF(Sheet1[[#This Row],[Actual Days]]&gt;=1,"Not Met","Met")</f>
        <v>Met</v>
      </c>
      <c r="L695" t="str">
        <f>TEXT(Sheet1[[#This Row],[Open Date]],"mmm")</f>
        <v>Aug</v>
      </c>
    </row>
    <row r="696" spans="1:12" x14ac:dyDescent="0.3">
      <c r="A696" t="s">
        <v>956</v>
      </c>
      <c r="B696" t="s">
        <v>30</v>
      </c>
      <c r="C696" t="s">
        <v>161</v>
      </c>
      <c r="D696" t="s">
        <v>15</v>
      </c>
      <c r="E696" t="s">
        <v>320</v>
      </c>
      <c r="F696" t="s">
        <v>26</v>
      </c>
      <c r="G696" t="s">
        <v>34</v>
      </c>
      <c r="H696" s="1">
        <v>45484</v>
      </c>
      <c r="I696" s="1">
        <v>45484</v>
      </c>
      <c r="J696">
        <f>Sheet1[[#This Row],[Close Date]]-Sheet1[[#This Row],[Open Date]]</f>
        <v>0</v>
      </c>
      <c r="K696" t="str">
        <f>IF(Sheet1[[#This Row],[Actual Days]]&gt;=1,"Not Met","Met")</f>
        <v>Met</v>
      </c>
      <c r="L696" t="str">
        <f>TEXT(Sheet1[[#This Row],[Open Date]],"mmm")</f>
        <v>Jul</v>
      </c>
    </row>
    <row r="697" spans="1:12" x14ac:dyDescent="0.3">
      <c r="A697" t="s">
        <v>957</v>
      </c>
      <c r="B697" t="s">
        <v>36</v>
      </c>
      <c r="C697" t="s">
        <v>76</v>
      </c>
      <c r="D697" t="s">
        <v>38</v>
      </c>
      <c r="E697" t="s">
        <v>322</v>
      </c>
      <c r="F697" t="s">
        <v>40</v>
      </c>
      <c r="G697" t="s">
        <v>59</v>
      </c>
      <c r="H697" s="1">
        <v>45565</v>
      </c>
      <c r="I697" s="1">
        <v>45565</v>
      </c>
      <c r="J697">
        <f>Sheet1[[#This Row],[Close Date]]-Sheet1[[#This Row],[Open Date]]</f>
        <v>0</v>
      </c>
      <c r="K697" t="str">
        <f>IF(Sheet1[[#This Row],[Actual Days]]&gt;=1,"Not Met","Met")</f>
        <v>Met</v>
      </c>
      <c r="L697" t="str">
        <f>TEXT(Sheet1[[#This Row],[Open Date]],"mmm")</f>
        <v>Sep</v>
      </c>
    </row>
    <row r="698" spans="1:12" x14ac:dyDescent="0.3">
      <c r="A698" t="s">
        <v>958</v>
      </c>
      <c r="B698" t="s">
        <v>13</v>
      </c>
      <c r="C698" t="s">
        <v>14</v>
      </c>
      <c r="D698" t="s">
        <v>156</v>
      </c>
      <c r="E698" t="s">
        <v>324</v>
      </c>
      <c r="F698" t="s">
        <v>17</v>
      </c>
      <c r="G698" t="s">
        <v>49</v>
      </c>
      <c r="H698" s="1">
        <v>45488</v>
      </c>
      <c r="I698" s="1">
        <v>45488</v>
      </c>
      <c r="J698">
        <f>Sheet1[[#This Row],[Close Date]]-Sheet1[[#This Row],[Open Date]]</f>
        <v>0</v>
      </c>
      <c r="K698" t="str">
        <f>IF(Sheet1[[#This Row],[Actual Days]]&gt;=1,"Not Met","Met")</f>
        <v>Met</v>
      </c>
      <c r="L698" t="str">
        <f>TEXT(Sheet1[[#This Row],[Open Date]],"mmm")</f>
        <v>Jul</v>
      </c>
    </row>
    <row r="699" spans="1:12" x14ac:dyDescent="0.3">
      <c r="A699" t="s">
        <v>959</v>
      </c>
      <c r="B699" t="s">
        <v>13</v>
      </c>
      <c r="C699" t="s">
        <v>14</v>
      </c>
      <c r="D699" t="s">
        <v>38</v>
      </c>
      <c r="E699" t="s">
        <v>326</v>
      </c>
      <c r="F699" t="s">
        <v>17</v>
      </c>
      <c r="G699" t="s">
        <v>45</v>
      </c>
      <c r="H699" s="1">
        <v>45569</v>
      </c>
      <c r="I699" s="1">
        <v>45569</v>
      </c>
      <c r="J699">
        <f>Sheet1[[#This Row],[Close Date]]-Sheet1[[#This Row],[Open Date]]</f>
        <v>0</v>
      </c>
      <c r="K699" t="str">
        <f>IF(Sheet1[[#This Row],[Actual Days]]&gt;=1,"Not Met","Met")</f>
        <v>Met</v>
      </c>
      <c r="L699" t="str">
        <f>TEXT(Sheet1[[#This Row],[Open Date]],"mmm")</f>
        <v>Oct</v>
      </c>
    </row>
    <row r="700" spans="1:12" x14ac:dyDescent="0.3">
      <c r="A700" t="s">
        <v>960</v>
      </c>
      <c r="B700" t="s">
        <v>13</v>
      </c>
      <c r="C700" t="s">
        <v>14</v>
      </c>
      <c r="D700" t="s">
        <v>32</v>
      </c>
      <c r="E700" t="s">
        <v>328</v>
      </c>
      <c r="F700" t="s">
        <v>26</v>
      </c>
      <c r="G700" t="s">
        <v>18</v>
      </c>
      <c r="H700" s="1">
        <v>45515</v>
      </c>
      <c r="I700" s="1">
        <v>45515</v>
      </c>
      <c r="J700">
        <f>Sheet1[[#This Row],[Close Date]]-Sheet1[[#This Row],[Open Date]]</f>
        <v>0</v>
      </c>
      <c r="K700" t="str">
        <f>IF(Sheet1[[#This Row],[Actual Days]]&gt;=1,"Not Met","Met")</f>
        <v>Met</v>
      </c>
      <c r="L700" t="str">
        <f>TEXT(Sheet1[[#This Row],[Open Date]],"mmm")</f>
        <v>Aug</v>
      </c>
    </row>
    <row r="701" spans="1:12" x14ac:dyDescent="0.3">
      <c r="A701" t="s">
        <v>961</v>
      </c>
      <c r="B701" t="s">
        <v>22</v>
      </c>
      <c r="C701" t="s">
        <v>101</v>
      </c>
      <c r="D701" t="s">
        <v>38</v>
      </c>
      <c r="E701" t="s">
        <v>330</v>
      </c>
      <c r="F701" t="s">
        <v>26</v>
      </c>
      <c r="G701" t="s">
        <v>59</v>
      </c>
      <c r="H701" s="1">
        <v>45537</v>
      </c>
      <c r="I701" s="1">
        <v>45537</v>
      </c>
      <c r="J701">
        <f>Sheet1[[#This Row],[Close Date]]-Sheet1[[#This Row],[Open Date]]</f>
        <v>0</v>
      </c>
      <c r="K701" t="str">
        <f>IF(Sheet1[[#This Row],[Actual Days]]&gt;=1,"Not Met","Met")</f>
        <v>Met</v>
      </c>
      <c r="L701" t="str">
        <f>TEXT(Sheet1[[#This Row],[Open Date]],"mmm")</f>
        <v>Sep</v>
      </c>
    </row>
    <row r="702" spans="1:12" x14ac:dyDescent="0.3">
      <c r="A702" t="s">
        <v>962</v>
      </c>
      <c r="B702" t="s">
        <v>42</v>
      </c>
      <c r="C702" t="s">
        <v>107</v>
      </c>
      <c r="D702" t="s">
        <v>38</v>
      </c>
      <c r="E702" t="s">
        <v>332</v>
      </c>
      <c r="F702" t="s">
        <v>26</v>
      </c>
      <c r="G702" t="s">
        <v>59</v>
      </c>
      <c r="H702" s="1">
        <v>45620</v>
      </c>
      <c r="I702" s="1">
        <v>45620</v>
      </c>
      <c r="J702">
        <f>Sheet1[[#This Row],[Close Date]]-Sheet1[[#This Row],[Open Date]]</f>
        <v>0</v>
      </c>
      <c r="K702" t="str">
        <f>IF(Sheet1[[#This Row],[Actual Days]]&gt;=1,"Not Met","Met")</f>
        <v>Met</v>
      </c>
      <c r="L702" t="str">
        <f>TEXT(Sheet1[[#This Row],[Open Date]],"mmm")</f>
        <v>Nov</v>
      </c>
    </row>
    <row r="703" spans="1:12" x14ac:dyDescent="0.3">
      <c r="A703" t="s">
        <v>963</v>
      </c>
      <c r="B703" t="s">
        <v>13</v>
      </c>
      <c r="C703" t="s">
        <v>68</v>
      </c>
      <c r="D703" t="s">
        <v>38</v>
      </c>
      <c r="E703" t="s">
        <v>334</v>
      </c>
      <c r="F703" t="s">
        <v>40</v>
      </c>
      <c r="G703" t="s">
        <v>45</v>
      </c>
      <c r="H703" s="1">
        <v>45536</v>
      </c>
      <c r="I703" s="1">
        <v>45536</v>
      </c>
      <c r="J703">
        <f>Sheet1[[#This Row],[Close Date]]-Sheet1[[#This Row],[Open Date]]</f>
        <v>0</v>
      </c>
      <c r="K703" t="str">
        <f>IF(Sheet1[[#This Row],[Actual Days]]&gt;=1,"Not Met","Met")</f>
        <v>Met</v>
      </c>
      <c r="L703" t="str">
        <f>TEXT(Sheet1[[#This Row],[Open Date]],"mmm")</f>
        <v>Sep</v>
      </c>
    </row>
    <row r="704" spans="1:12" x14ac:dyDescent="0.3">
      <c r="A704" t="s">
        <v>964</v>
      </c>
      <c r="B704" t="s">
        <v>22</v>
      </c>
      <c r="C704" t="s">
        <v>84</v>
      </c>
      <c r="D704" t="s">
        <v>156</v>
      </c>
      <c r="E704" t="s">
        <v>336</v>
      </c>
      <c r="F704" t="s">
        <v>17</v>
      </c>
      <c r="G704" t="s">
        <v>59</v>
      </c>
      <c r="H704" s="1">
        <v>45521</v>
      </c>
      <c r="I704" s="1">
        <v>45521</v>
      </c>
      <c r="J704">
        <f>Sheet1[[#This Row],[Close Date]]-Sheet1[[#This Row],[Open Date]]</f>
        <v>0</v>
      </c>
      <c r="K704" t="str">
        <f>IF(Sheet1[[#This Row],[Actual Days]]&gt;=1,"Not Met","Met")</f>
        <v>Met</v>
      </c>
      <c r="L704" t="str">
        <f>TEXT(Sheet1[[#This Row],[Open Date]],"mmm")</f>
        <v>Aug</v>
      </c>
    </row>
    <row r="705" spans="1:12" x14ac:dyDescent="0.3">
      <c r="A705" t="s">
        <v>965</v>
      </c>
      <c r="B705" t="s">
        <v>13</v>
      </c>
      <c r="C705" t="s">
        <v>14</v>
      </c>
      <c r="D705" t="s">
        <v>73</v>
      </c>
      <c r="E705" t="s">
        <v>338</v>
      </c>
      <c r="F705" t="s">
        <v>40</v>
      </c>
      <c r="G705" t="s">
        <v>49</v>
      </c>
      <c r="H705" s="1">
        <v>45486</v>
      </c>
      <c r="I705" s="1">
        <v>45486</v>
      </c>
      <c r="J705">
        <f>Sheet1[[#This Row],[Close Date]]-Sheet1[[#This Row],[Open Date]]</f>
        <v>0</v>
      </c>
      <c r="K705" t="str">
        <f>IF(Sheet1[[#This Row],[Actual Days]]&gt;=1,"Not Met","Met")</f>
        <v>Met</v>
      </c>
      <c r="L705" t="str">
        <f>TEXT(Sheet1[[#This Row],[Open Date]],"mmm")</f>
        <v>Jul</v>
      </c>
    </row>
    <row r="706" spans="1:12" x14ac:dyDescent="0.3">
      <c r="A706" t="s">
        <v>966</v>
      </c>
      <c r="B706" t="s">
        <v>22</v>
      </c>
      <c r="C706" t="s">
        <v>23</v>
      </c>
      <c r="D706" t="s">
        <v>15</v>
      </c>
      <c r="E706" t="s">
        <v>340</v>
      </c>
      <c r="F706" t="s">
        <v>26</v>
      </c>
      <c r="G706" t="s">
        <v>34</v>
      </c>
      <c r="H706" s="1">
        <v>45562</v>
      </c>
      <c r="I706" s="1">
        <v>45562</v>
      </c>
      <c r="J706">
        <f>Sheet1[[#This Row],[Close Date]]-Sheet1[[#This Row],[Open Date]]</f>
        <v>0</v>
      </c>
      <c r="K706" t="str">
        <f>IF(Sheet1[[#This Row],[Actual Days]]&gt;=1,"Not Met","Met")</f>
        <v>Met</v>
      </c>
      <c r="L706" t="str">
        <f>TEXT(Sheet1[[#This Row],[Open Date]],"mmm")</f>
        <v>Sep</v>
      </c>
    </row>
    <row r="707" spans="1:12" x14ac:dyDescent="0.3">
      <c r="A707" t="s">
        <v>967</v>
      </c>
      <c r="B707" t="s">
        <v>36</v>
      </c>
      <c r="C707" t="s">
        <v>37</v>
      </c>
      <c r="D707" t="s">
        <v>156</v>
      </c>
      <c r="E707" t="s">
        <v>342</v>
      </c>
      <c r="F707" t="s">
        <v>26</v>
      </c>
      <c r="G707" t="s">
        <v>59</v>
      </c>
      <c r="H707" s="1">
        <v>45544</v>
      </c>
      <c r="I707" s="1">
        <v>45544</v>
      </c>
      <c r="J707">
        <f>Sheet1[[#This Row],[Close Date]]-Sheet1[[#This Row],[Open Date]]</f>
        <v>0</v>
      </c>
      <c r="K707" t="str">
        <f>IF(Sheet1[[#This Row],[Actual Days]]&gt;=1,"Not Met","Met")</f>
        <v>Met</v>
      </c>
      <c r="L707" t="str">
        <f>TEXT(Sheet1[[#This Row],[Open Date]],"mmm")</f>
        <v>Sep</v>
      </c>
    </row>
    <row r="708" spans="1:12" x14ac:dyDescent="0.3">
      <c r="A708" t="s">
        <v>968</v>
      </c>
      <c r="B708" t="s">
        <v>22</v>
      </c>
      <c r="C708" t="s">
        <v>84</v>
      </c>
      <c r="D708" t="s">
        <v>15</v>
      </c>
      <c r="E708" t="s">
        <v>344</v>
      </c>
      <c r="F708" t="s">
        <v>40</v>
      </c>
      <c r="G708" t="s">
        <v>27</v>
      </c>
      <c r="H708" s="1">
        <v>45588</v>
      </c>
      <c r="I708" s="1">
        <v>45588</v>
      </c>
      <c r="J708">
        <f>Sheet1[[#This Row],[Close Date]]-Sheet1[[#This Row],[Open Date]]</f>
        <v>0</v>
      </c>
      <c r="K708" t="str">
        <f>IF(Sheet1[[#This Row],[Actual Days]]&gt;=1,"Not Met","Met")</f>
        <v>Met</v>
      </c>
      <c r="L708" t="str">
        <f>TEXT(Sheet1[[#This Row],[Open Date]],"mmm")</f>
        <v>Oct</v>
      </c>
    </row>
    <row r="709" spans="1:12" x14ac:dyDescent="0.3">
      <c r="A709" t="s">
        <v>969</v>
      </c>
      <c r="B709" t="s">
        <v>30</v>
      </c>
      <c r="C709" t="s">
        <v>161</v>
      </c>
      <c r="D709" t="s">
        <v>87</v>
      </c>
      <c r="E709" t="s">
        <v>346</v>
      </c>
      <c r="F709" t="s">
        <v>17</v>
      </c>
      <c r="G709" t="s">
        <v>18</v>
      </c>
      <c r="H709" s="1">
        <v>45576</v>
      </c>
      <c r="I709" s="1">
        <v>45576</v>
      </c>
      <c r="J709">
        <f>Sheet1[[#This Row],[Close Date]]-Sheet1[[#This Row],[Open Date]]</f>
        <v>0</v>
      </c>
      <c r="K709" t="str">
        <f>IF(Sheet1[[#This Row],[Actual Days]]&gt;=1,"Not Met","Met")</f>
        <v>Met</v>
      </c>
      <c r="L709" t="str">
        <f>TEXT(Sheet1[[#This Row],[Open Date]],"mmm")</f>
        <v>Oct</v>
      </c>
    </row>
    <row r="710" spans="1:12" x14ac:dyDescent="0.3">
      <c r="A710" t="s">
        <v>970</v>
      </c>
      <c r="B710" t="s">
        <v>22</v>
      </c>
      <c r="C710" t="s">
        <v>84</v>
      </c>
      <c r="D710" t="s">
        <v>94</v>
      </c>
      <c r="E710" t="s">
        <v>348</v>
      </c>
      <c r="F710" t="s">
        <v>40</v>
      </c>
      <c r="G710" t="s">
        <v>34</v>
      </c>
      <c r="H710" s="1">
        <v>45559</v>
      </c>
      <c r="I710" s="1">
        <v>45559</v>
      </c>
      <c r="J710">
        <f>Sheet1[[#This Row],[Close Date]]-Sheet1[[#This Row],[Open Date]]</f>
        <v>0</v>
      </c>
      <c r="K710" t="str">
        <f>IF(Sheet1[[#This Row],[Actual Days]]&gt;=1,"Not Met","Met")</f>
        <v>Met</v>
      </c>
      <c r="L710" t="str">
        <f>TEXT(Sheet1[[#This Row],[Open Date]],"mmm")</f>
        <v>Sep</v>
      </c>
    </row>
    <row r="711" spans="1:12" x14ac:dyDescent="0.3">
      <c r="A711" t="s">
        <v>971</v>
      </c>
      <c r="B711" t="s">
        <v>13</v>
      </c>
      <c r="C711" t="s">
        <v>68</v>
      </c>
      <c r="D711" t="s">
        <v>156</v>
      </c>
      <c r="E711" t="s">
        <v>350</v>
      </c>
      <c r="F711" t="s">
        <v>17</v>
      </c>
      <c r="G711" t="s">
        <v>59</v>
      </c>
      <c r="H711" s="1">
        <v>45497</v>
      </c>
      <c r="I711" s="1">
        <v>45497</v>
      </c>
      <c r="J711">
        <f>Sheet1[[#This Row],[Close Date]]-Sheet1[[#This Row],[Open Date]]</f>
        <v>0</v>
      </c>
      <c r="K711" t="str">
        <f>IF(Sheet1[[#This Row],[Actual Days]]&gt;=1,"Not Met","Met")</f>
        <v>Met</v>
      </c>
      <c r="L711" t="str">
        <f>TEXT(Sheet1[[#This Row],[Open Date]],"mmm")</f>
        <v>Jul</v>
      </c>
    </row>
    <row r="712" spans="1:12" x14ac:dyDescent="0.3">
      <c r="A712" t="s">
        <v>972</v>
      </c>
      <c r="B712" t="s">
        <v>36</v>
      </c>
      <c r="C712" t="s">
        <v>76</v>
      </c>
      <c r="D712" t="s">
        <v>32</v>
      </c>
      <c r="E712" t="s">
        <v>352</v>
      </c>
      <c r="F712" t="s">
        <v>40</v>
      </c>
      <c r="G712" t="s">
        <v>27</v>
      </c>
      <c r="H712" s="1">
        <v>45582</v>
      </c>
      <c r="I712" s="1">
        <v>45582</v>
      </c>
      <c r="J712">
        <f>Sheet1[[#This Row],[Close Date]]-Sheet1[[#This Row],[Open Date]]</f>
        <v>0</v>
      </c>
      <c r="K712" t="str">
        <f>IF(Sheet1[[#This Row],[Actual Days]]&gt;=1,"Not Met","Met")</f>
        <v>Met</v>
      </c>
      <c r="L712" t="str">
        <f>TEXT(Sheet1[[#This Row],[Open Date]],"mmm")</f>
        <v>Oct</v>
      </c>
    </row>
    <row r="713" spans="1:12" x14ac:dyDescent="0.3">
      <c r="A713" t="s">
        <v>973</v>
      </c>
      <c r="B713" t="s">
        <v>36</v>
      </c>
      <c r="C713" t="s">
        <v>76</v>
      </c>
      <c r="D713" t="s">
        <v>38</v>
      </c>
      <c r="E713" t="s">
        <v>354</v>
      </c>
      <c r="F713" t="s">
        <v>40</v>
      </c>
      <c r="G713" t="s">
        <v>59</v>
      </c>
      <c r="H713" s="1">
        <v>45609</v>
      </c>
      <c r="I713" s="1">
        <v>45609</v>
      </c>
      <c r="J713">
        <f>Sheet1[[#This Row],[Close Date]]-Sheet1[[#This Row],[Open Date]]</f>
        <v>0</v>
      </c>
      <c r="K713" t="str">
        <f>IF(Sheet1[[#This Row],[Actual Days]]&gt;=1,"Not Met","Met")</f>
        <v>Met</v>
      </c>
      <c r="L713" t="str">
        <f>TEXT(Sheet1[[#This Row],[Open Date]],"mmm")</f>
        <v>Nov</v>
      </c>
    </row>
    <row r="714" spans="1:12" x14ac:dyDescent="0.3">
      <c r="A714" t="s">
        <v>974</v>
      </c>
      <c r="B714" t="s">
        <v>42</v>
      </c>
      <c r="C714" t="s">
        <v>43</v>
      </c>
      <c r="D714" t="s">
        <v>87</v>
      </c>
      <c r="E714" t="s">
        <v>356</v>
      </c>
      <c r="F714" t="s">
        <v>26</v>
      </c>
      <c r="G714" t="s">
        <v>49</v>
      </c>
      <c r="H714" s="1">
        <v>45588</v>
      </c>
      <c r="I714" s="1">
        <v>45588</v>
      </c>
      <c r="J714">
        <f>Sheet1[[#This Row],[Close Date]]-Sheet1[[#This Row],[Open Date]]</f>
        <v>0</v>
      </c>
      <c r="K714" t="str">
        <f>IF(Sheet1[[#This Row],[Actual Days]]&gt;=1,"Not Met","Met")</f>
        <v>Met</v>
      </c>
      <c r="L714" t="str">
        <f>TEXT(Sheet1[[#This Row],[Open Date]],"mmm")</f>
        <v>Oct</v>
      </c>
    </row>
    <row r="715" spans="1:12" x14ac:dyDescent="0.3">
      <c r="A715" t="s">
        <v>975</v>
      </c>
      <c r="B715" t="s">
        <v>13</v>
      </c>
      <c r="C715" t="s">
        <v>14</v>
      </c>
      <c r="D715" t="s">
        <v>15</v>
      </c>
      <c r="E715" t="s">
        <v>358</v>
      </c>
      <c r="F715" t="s">
        <v>40</v>
      </c>
      <c r="G715" t="s">
        <v>59</v>
      </c>
      <c r="H715" s="1">
        <v>45515</v>
      </c>
      <c r="I715" s="1">
        <v>45515</v>
      </c>
      <c r="J715">
        <f>Sheet1[[#This Row],[Close Date]]-Sheet1[[#This Row],[Open Date]]</f>
        <v>0</v>
      </c>
      <c r="K715" t="str">
        <f>IF(Sheet1[[#This Row],[Actual Days]]&gt;=1,"Not Met","Met")</f>
        <v>Met</v>
      </c>
      <c r="L715" t="str">
        <f>TEXT(Sheet1[[#This Row],[Open Date]],"mmm")</f>
        <v>Aug</v>
      </c>
    </row>
    <row r="716" spans="1:12" x14ac:dyDescent="0.3">
      <c r="A716" t="s">
        <v>976</v>
      </c>
      <c r="B716" t="s">
        <v>36</v>
      </c>
      <c r="C716" t="s">
        <v>37</v>
      </c>
      <c r="D716" t="s">
        <v>156</v>
      </c>
      <c r="E716" t="s">
        <v>360</v>
      </c>
      <c r="F716" t="s">
        <v>17</v>
      </c>
      <c r="G716" t="s">
        <v>18</v>
      </c>
      <c r="H716" s="1">
        <v>45563</v>
      </c>
      <c r="I716" s="1">
        <v>45563</v>
      </c>
      <c r="J716">
        <f>Sheet1[[#This Row],[Close Date]]-Sheet1[[#This Row],[Open Date]]</f>
        <v>0</v>
      </c>
      <c r="K716" t="str">
        <f>IF(Sheet1[[#This Row],[Actual Days]]&gt;=1,"Not Met","Met")</f>
        <v>Met</v>
      </c>
      <c r="L716" t="str">
        <f>TEXT(Sheet1[[#This Row],[Open Date]],"mmm")</f>
        <v>Sep</v>
      </c>
    </row>
    <row r="717" spans="1:12" x14ac:dyDescent="0.3">
      <c r="A717" t="s">
        <v>977</v>
      </c>
      <c r="B717" t="s">
        <v>22</v>
      </c>
      <c r="C717" t="s">
        <v>84</v>
      </c>
      <c r="D717" t="s">
        <v>87</v>
      </c>
      <c r="E717" t="s">
        <v>362</v>
      </c>
      <c r="F717" t="s">
        <v>17</v>
      </c>
      <c r="G717" t="s">
        <v>45</v>
      </c>
      <c r="H717" s="1">
        <v>45630</v>
      </c>
      <c r="I717" s="1">
        <v>45630</v>
      </c>
      <c r="J717">
        <f>Sheet1[[#This Row],[Close Date]]-Sheet1[[#This Row],[Open Date]]</f>
        <v>0</v>
      </c>
      <c r="K717" t="str">
        <f>IF(Sheet1[[#This Row],[Actual Days]]&gt;=1,"Not Met","Met")</f>
        <v>Met</v>
      </c>
      <c r="L717" t="str">
        <f>TEXT(Sheet1[[#This Row],[Open Date]],"mmm")</f>
        <v>Dec</v>
      </c>
    </row>
    <row r="718" spans="1:12" x14ac:dyDescent="0.3">
      <c r="A718" t="s">
        <v>978</v>
      </c>
      <c r="B718" t="s">
        <v>42</v>
      </c>
      <c r="C718" t="s">
        <v>107</v>
      </c>
      <c r="D718" t="s">
        <v>38</v>
      </c>
      <c r="E718" t="s">
        <v>364</v>
      </c>
      <c r="F718" t="s">
        <v>26</v>
      </c>
      <c r="G718" t="s">
        <v>59</v>
      </c>
      <c r="H718" s="1">
        <v>45551</v>
      </c>
      <c r="I718" s="1">
        <v>45551</v>
      </c>
      <c r="J718">
        <f>Sheet1[[#This Row],[Close Date]]-Sheet1[[#This Row],[Open Date]]</f>
        <v>0</v>
      </c>
      <c r="K718" t="str">
        <f>IF(Sheet1[[#This Row],[Actual Days]]&gt;=1,"Not Met","Met")</f>
        <v>Met</v>
      </c>
      <c r="L718" t="str">
        <f>TEXT(Sheet1[[#This Row],[Open Date]],"mmm")</f>
        <v>Sep</v>
      </c>
    </row>
    <row r="719" spans="1:12" x14ac:dyDescent="0.3">
      <c r="A719" t="s">
        <v>979</v>
      </c>
      <c r="B719" t="s">
        <v>36</v>
      </c>
      <c r="C719" t="s">
        <v>62</v>
      </c>
      <c r="D719" t="s">
        <v>38</v>
      </c>
      <c r="E719" t="s">
        <v>366</v>
      </c>
      <c r="F719" t="s">
        <v>26</v>
      </c>
      <c r="G719" t="s">
        <v>34</v>
      </c>
      <c r="H719" s="1">
        <v>45601</v>
      </c>
      <c r="I719" s="1">
        <v>45601</v>
      </c>
      <c r="J719">
        <f>Sheet1[[#This Row],[Close Date]]-Sheet1[[#This Row],[Open Date]]</f>
        <v>0</v>
      </c>
      <c r="K719" t="str">
        <f>IF(Sheet1[[#This Row],[Actual Days]]&gt;=1,"Not Met","Met")</f>
        <v>Met</v>
      </c>
      <c r="L719" t="str">
        <f>TEXT(Sheet1[[#This Row],[Open Date]],"mmm")</f>
        <v>Nov</v>
      </c>
    </row>
    <row r="720" spans="1:12" x14ac:dyDescent="0.3">
      <c r="A720" t="s">
        <v>980</v>
      </c>
      <c r="B720" t="s">
        <v>42</v>
      </c>
      <c r="C720" t="s">
        <v>107</v>
      </c>
      <c r="D720" t="s">
        <v>15</v>
      </c>
      <c r="E720" t="s">
        <v>368</v>
      </c>
      <c r="F720" t="s">
        <v>40</v>
      </c>
      <c r="G720" t="s">
        <v>27</v>
      </c>
      <c r="H720" s="1">
        <v>45567</v>
      </c>
      <c r="I720" s="1">
        <v>45567</v>
      </c>
      <c r="J720">
        <f>Sheet1[[#This Row],[Close Date]]-Sheet1[[#This Row],[Open Date]]</f>
        <v>0</v>
      </c>
      <c r="K720" t="str">
        <f>IF(Sheet1[[#This Row],[Actual Days]]&gt;=1,"Not Met","Met")</f>
        <v>Met</v>
      </c>
      <c r="L720" t="str">
        <f>TEXT(Sheet1[[#This Row],[Open Date]],"mmm")</f>
        <v>Oct</v>
      </c>
    </row>
    <row r="721" spans="1:12" x14ac:dyDescent="0.3">
      <c r="A721" t="s">
        <v>981</v>
      </c>
      <c r="B721" t="s">
        <v>36</v>
      </c>
      <c r="C721" t="s">
        <v>37</v>
      </c>
      <c r="D721" t="s">
        <v>24</v>
      </c>
      <c r="E721" t="s">
        <v>370</v>
      </c>
      <c r="F721" t="s">
        <v>40</v>
      </c>
      <c r="G721" t="s">
        <v>45</v>
      </c>
      <c r="H721" s="1">
        <v>45493</v>
      </c>
      <c r="I721" s="1">
        <v>45493</v>
      </c>
      <c r="J721">
        <f>Sheet1[[#This Row],[Close Date]]-Sheet1[[#This Row],[Open Date]]</f>
        <v>0</v>
      </c>
      <c r="K721" t="str">
        <f>IF(Sheet1[[#This Row],[Actual Days]]&gt;=1,"Not Met","Met")</f>
        <v>Met</v>
      </c>
      <c r="L721" t="str">
        <f>TEXT(Sheet1[[#This Row],[Open Date]],"mmm")</f>
        <v>Jul</v>
      </c>
    </row>
    <row r="722" spans="1:12" x14ac:dyDescent="0.3">
      <c r="A722" t="s">
        <v>982</v>
      </c>
      <c r="B722" t="s">
        <v>13</v>
      </c>
      <c r="C722" t="s">
        <v>68</v>
      </c>
      <c r="D722" t="s">
        <v>15</v>
      </c>
      <c r="E722" t="s">
        <v>372</v>
      </c>
      <c r="F722" t="s">
        <v>26</v>
      </c>
      <c r="G722" t="s">
        <v>27</v>
      </c>
      <c r="H722" s="1">
        <v>45629</v>
      </c>
      <c r="I722" s="1">
        <v>45629</v>
      </c>
      <c r="J722">
        <f>Sheet1[[#This Row],[Close Date]]-Sheet1[[#This Row],[Open Date]]</f>
        <v>0</v>
      </c>
      <c r="K722" t="str">
        <f>IF(Sheet1[[#This Row],[Actual Days]]&gt;=1,"Not Met","Met")</f>
        <v>Met</v>
      </c>
      <c r="L722" t="str">
        <f>TEXT(Sheet1[[#This Row],[Open Date]],"mmm")</f>
        <v>Dec</v>
      </c>
    </row>
    <row r="723" spans="1:12" x14ac:dyDescent="0.3">
      <c r="A723" t="s">
        <v>983</v>
      </c>
      <c r="B723" t="s">
        <v>13</v>
      </c>
      <c r="C723" t="s">
        <v>14</v>
      </c>
      <c r="D723" t="s">
        <v>87</v>
      </c>
      <c r="E723" t="s">
        <v>374</v>
      </c>
      <c r="F723" t="s">
        <v>17</v>
      </c>
      <c r="G723" t="s">
        <v>18</v>
      </c>
      <c r="H723" s="1">
        <v>45554</v>
      </c>
      <c r="I723" s="1">
        <v>45554</v>
      </c>
      <c r="J723">
        <f>Sheet1[[#This Row],[Close Date]]-Sheet1[[#This Row],[Open Date]]</f>
        <v>0</v>
      </c>
      <c r="K723" t="str">
        <f>IF(Sheet1[[#This Row],[Actual Days]]&gt;=1,"Not Met","Met")</f>
        <v>Met</v>
      </c>
      <c r="L723" t="str">
        <f>TEXT(Sheet1[[#This Row],[Open Date]],"mmm")</f>
        <v>Sep</v>
      </c>
    </row>
    <row r="724" spans="1:12" x14ac:dyDescent="0.3">
      <c r="A724" t="s">
        <v>984</v>
      </c>
      <c r="B724" t="s">
        <v>13</v>
      </c>
      <c r="C724" t="s">
        <v>65</v>
      </c>
      <c r="D724" t="s">
        <v>38</v>
      </c>
      <c r="E724" t="s">
        <v>376</v>
      </c>
      <c r="F724" t="s">
        <v>17</v>
      </c>
      <c r="G724" t="s">
        <v>59</v>
      </c>
      <c r="H724" s="1">
        <v>45561</v>
      </c>
      <c r="I724" s="1">
        <v>45561</v>
      </c>
      <c r="J724">
        <f>Sheet1[[#This Row],[Close Date]]-Sheet1[[#This Row],[Open Date]]</f>
        <v>0</v>
      </c>
      <c r="K724" t="str">
        <f>IF(Sheet1[[#This Row],[Actual Days]]&gt;=1,"Not Met","Met")</f>
        <v>Met</v>
      </c>
      <c r="L724" t="str">
        <f>TEXT(Sheet1[[#This Row],[Open Date]],"mmm")</f>
        <v>Sep</v>
      </c>
    </row>
    <row r="725" spans="1:12" x14ac:dyDescent="0.3">
      <c r="A725" t="s">
        <v>985</v>
      </c>
      <c r="B725" t="s">
        <v>30</v>
      </c>
      <c r="C725" t="s">
        <v>51</v>
      </c>
      <c r="D725" t="s">
        <v>32</v>
      </c>
      <c r="E725" t="s">
        <v>378</v>
      </c>
      <c r="F725" t="s">
        <v>17</v>
      </c>
      <c r="G725" t="s">
        <v>18</v>
      </c>
      <c r="H725" s="1">
        <v>45546</v>
      </c>
      <c r="I725" s="1">
        <v>45546</v>
      </c>
      <c r="J725">
        <f>Sheet1[[#This Row],[Close Date]]-Sheet1[[#This Row],[Open Date]]</f>
        <v>0</v>
      </c>
      <c r="K725" t="str">
        <f>IF(Sheet1[[#This Row],[Actual Days]]&gt;=1,"Not Met","Met")</f>
        <v>Met</v>
      </c>
      <c r="L725" t="str">
        <f>TEXT(Sheet1[[#This Row],[Open Date]],"mmm")</f>
        <v>Sep</v>
      </c>
    </row>
    <row r="726" spans="1:12" x14ac:dyDescent="0.3">
      <c r="A726" t="s">
        <v>986</v>
      </c>
      <c r="B726" t="s">
        <v>22</v>
      </c>
      <c r="C726" t="s">
        <v>23</v>
      </c>
      <c r="D726" t="s">
        <v>15</v>
      </c>
      <c r="E726" t="s">
        <v>380</v>
      </c>
      <c r="F726" t="s">
        <v>40</v>
      </c>
      <c r="G726" t="s">
        <v>45</v>
      </c>
      <c r="H726" s="1">
        <v>45621</v>
      </c>
      <c r="I726" s="1">
        <v>45621</v>
      </c>
      <c r="J726">
        <f>Sheet1[[#This Row],[Close Date]]-Sheet1[[#This Row],[Open Date]]</f>
        <v>0</v>
      </c>
      <c r="K726" t="str">
        <f>IF(Sheet1[[#This Row],[Actual Days]]&gt;=1,"Not Met","Met")</f>
        <v>Met</v>
      </c>
      <c r="L726" t="str">
        <f>TEXT(Sheet1[[#This Row],[Open Date]],"mmm")</f>
        <v>Nov</v>
      </c>
    </row>
    <row r="727" spans="1:12" x14ac:dyDescent="0.3">
      <c r="A727" t="s">
        <v>987</v>
      </c>
      <c r="B727" t="s">
        <v>30</v>
      </c>
      <c r="C727" t="s">
        <v>51</v>
      </c>
      <c r="D727" t="s">
        <v>15</v>
      </c>
      <c r="E727" t="s">
        <v>382</v>
      </c>
      <c r="F727" t="s">
        <v>40</v>
      </c>
      <c r="G727" t="s">
        <v>18</v>
      </c>
      <c r="H727" s="1">
        <v>45478</v>
      </c>
      <c r="I727" s="1">
        <v>45478</v>
      </c>
      <c r="J727">
        <f>Sheet1[[#This Row],[Close Date]]-Sheet1[[#This Row],[Open Date]]</f>
        <v>0</v>
      </c>
      <c r="K727" t="str">
        <f>IF(Sheet1[[#This Row],[Actual Days]]&gt;=1,"Not Met","Met")</f>
        <v>Met</v>
      </c>
      <c r="L727" t="str">
        <f>TEXT(Sheet1[[#This Row],[Open Date]],"mmm")</f>
        <v>Jul</v>
      </c>
    </row>
    <row r="728" spans="1:12" x14ac:dyDescent="0.3">
      <c r="A728" t="s">
        <v>988</v>
      </c>
      <c r="B728" t="s">
        <v>42</v>
      </c>
      <c r="C728" t="s">
        <v>107</v>
      </c>
      <c r="D728" t="s">
        <v>38</v>
      </c>
      <c r="E728" t="s">
        <v>384</v>
      </c>
      <c r="F728" t="s">
        <v>40</v>
      </c>
      <c r="G728" t="s">
        <v>34</v>
      </c>
      <c r="H728" s="1">
        <v>45486</v>
      </c>
      <c r="I728" s="1">
        <v>45486</v>
      </c>
      <c r="J728">
        <f>Sheet1[[#This Row],[Close Date]]-Sheet1[[#This Row],[Open Date]]</f>
        <v>0</v>
      </c>
      <c r="K728" t="str">
        <f>IF(Sheet1[[#This Row],[Actual Days]]&gt;=1,"Not Met","Met")</f>
        <v>Met</v>
      </c>
      <c r="L728" t="str">
        <f>TEXT(Sheet1[[#This Row],[Open Date]],"mmm")</f>
        <v>Jul</v>
      </c>
    </row>
    <row r="729" spans="1:12" x14ac:dyDescent="0.3">
      <c r="A729" t="s">
        <v>989</v>
      </c>
      <c r="B729" t="s">
        <v>22</v>
      </c>
      <c r="C729" t="s">
        <v>101</v>
      </c>
      <c r="D729" t="s">
        <v>73</v>
      </c>
      <c r="E729" t="s">
        <v>386</v>
      </c>
      <c r="F729" t="s">
        <v>40</v>
      </c>
      <c r="G729" t="s">
        <v>59</v>
      </c>
      <c r="H729" s="1">
        <v>45586</v>
      </c>
      <c r="I729" s="1">
        <v>45586</v>
      </c>
      <c r="J729">
        <f>Sheet1[[#This Row],[Close Date]]-Sheet1[[#This Row],[Open Date]]</f>
        <v>0</v>
      </c>
      <c r="K729" t="str">
        <f>IF(Sheet1[[#This Row],[Actual Days]]&gt;=1,"Not Met","Met")</f>
        <v>Met</v>
      </c>
      <c r="L729" t="str">
        <f>TEXT(Sheet1[[#This Row],[Open Date]],"mmm")</f>
        <v>Oct</v>
      </c>
    </row>
    <row r="730" spans="1:12" x14ac:dyDescent="0.3">
      <c r="A730" t="s">
        <v>990</v>
      </c>
      <c r="B730" t="s">
        <v>36</v>
      </c>
      <c r="C730" t="s">
        <v>37</v>
      </c>
      <c r="D730" t="s">
        <v>38</v>
      </c>
      <c r="E730" t="s">
        <v>388</v>
      </c>
      <c r="F730" t="s">
        <v>26</v>
      </c>
      <c r="G730" t="s">
        <v>34</v>
      </c>
      <c r="H730" s="1">
        <v>45582</v>
      </c>
      <c r="I730" s="1">
        <v>45582</v>
      </c>
      <c r="J730">
        <f>Sheet1[[#This Row],[Close Date]]-Sheet1[[#This Row],[Open Date]]</f>
        <v>0</v>
      </c>
      <c r="K730" t="str">
        <f>IF(Sheet1[[#This Row],[Actual Days]]&gt;=1,"Not Met","Met")</f>
        <v>Met</v>
      </c>
      <c r="L730" t="str">
        <f>TEXT(Sheet1[[#This Row],[Open Date]],"mmm")</f>
        <v>Oct</v>
      </c>
    </row>
    <row r="731" spans="1:12" x14ac:dyDescent="0.3">
      <c r="A731" t="s">
        <v>991</v>
      </c>
      <c r="B731" t="s">
        <v>30</v>
      </c>
      <c r="C731" t="s">
        <v>51</v>
      </c>
      <c r="D731" t="s">
        <v>38</v>
      </c>
      <c r="E731" t="s">
        <v>390</v>
      </c>
      <c r="F731" t="s">
        <v>17</v>
      </c>
      <c r="G731" t="s">
        <v>59</v>
      </c>
      <c r="H731" s="1">
        <v>45565</v>
      </c>
      <c r="I731" s="1">
        <v>45565</v>
      </c>
      <c r="J731">
        <f>Sheet1[[#This Row],[Close Date]]-Sheet1[[#This Row],[Open Date]]</f>
        <v>0</v>
      </c>
      <c r="K731" t="str">
        <f>IF(Sheet1[[#This Row],[Actual Days]]&gt;=1,"Not Met","Met")</f>
        <v>Met</v>
      </c>
      <c r="L731" t="str">
        <f>TEXT(Sheet1[[#This Row],[Open Date]],"mmm")</f>
        <v>Sep</v>
      </c>
    </row>
    <row r="732" spans="1:12" x14ac:dyDescent="0.3">
      <c r="A732" t="s">
        <v>992</v>
      </c>
      <c r="B732" t="s">
        <v>22</v>
      </c>
      <c r="C732" t="s">
        <v>23</v>
      </c>
      <c r="D732" t="s">
        <v>32</v>
      </c>
      <c r="E732" t="s">
        <v>392</v>
      </c>
      <c r="F732" t="s">
        <v>17</v>
      </c>
      <c r="G732" t="s">
        <v>27</v>
      </c>
      <c r="H732" s="1">
        <v>45525</v>
      </c>
      <c r="I732" s="1">
        <v>45525</v>
      </c>
      <c r="J732">
        <f>Sheet1[[#This Row],[Close Date]]-Sheet1[[#This Row],[Open Date]]</f>
        <v>0</v>
      </c>
      <c r="K732" t="str">
        <f>IF(Sheet1[[#This Row],[Actual Days]]&gt;=1,"Not Met","Met")</f>
        <v>Met</v>
      </c>
      <c r="L732" t="str">
        <f>TEXT(Sheet1[[#This Row],[Open Date]],"mmm")</f>
        <v>Aug</v>
      </c>
    </row>
    <row r="733" spans="1:12" x14ac:dyDescent="0.3">
      <c r="A733" t="s">
        <v>993</v>
      </c>
      <c r="B733" t="s">
        <v>22</v>
      </c>
      <c r="C733" t="s">
        <v>23</v>
      </c>
      <c r="D733" t="s">
        <v>15</v>
      </c>
      <c r="E733" t="s">
        <v>394</v>
      </c>
      <c r="F733" t="s">
        <v>26</v>
      </c>
      <c r="G733" t="s">
        <v>27</v>
      </c>
      <c r="H733" s="1">
        <v>45528</v>
      </c>
      <c r="I733" s="1">
        <v>45528</v>
      </c>
      <c r="J733">
        <f>Sheet1[[#This Row],[Close Date]]-Sheet1[[#This Row],[Open Date]]</f>
        <v>0</v>
      </c>
      <c r="K733" t="str">
        <f>IF(Sheet1[[#This Row],[Actual Days]]&gt;=1,"Not Met","Met")</f>
        <v>Met</v>
      </c>
      <c r="L733" t="str">
        <f>TEXT(Sheet1[[#This Row],[Open Date]],"mmm")</f>
        <v>Aug</v>
      </c>
    </row>
    <row r="734" spans="1:12" x14ac:dyDescent="0.3">
      <c r="A734" t="s">
        <v>994</v>
      </c>
      <c r="B734" t="s">
        <v>36</v>
      </c>
      <c r="C734" t="s">
        <v>37</v>
      </c>
      <c r="D734" t="s">
        <v>32</v>
      </c>
      <c r="E734" t="s">
        <v>396</v>
      </c>
      <c r="F734" t="s">
        <v>17</v>
      </c>
      <c r="G734" t="s">
        <v>34</v>
      </c>
      <c r="H734" s="1">
        <v>45489</v>
      </c>
      <c r="I734" s="1">
        <v>45489</v>
      </c>
      <c r="J734">
        <f>Sheet1[[#This Row],[Close Date]]-Sheet1[[#This Row],[Open Date]]</f>
        <v>0</v>
      </c>
      <c r="K734" t="str">
        <f>IF(Sheet1[[#This Row],[Actual Days]]&gt;=1,"Not Met","Met")</f>
        <v>Met</v>
      </c>
      <c r="L734" t="str">
        <f>TEXT(Sheet1[[#This Row],[Open Date]],"mmm")</f>
        <v>Jul</v>
      </c>
    </row>
    <row r="735" spans="1:12" x14ac:dyDescent="0.3">
      <c r="A735" t="s">
        <v>995</v>
      </c>
      <c r="B735" t="s">
        <v>13</v>
      </c>
      <c r="C735" t="s">
        <v>65</v>
      </c>
      <c r="D735" t="s">
        <v>38</v>
      </c>
      <c r="E735" t="s">
        <v>398</v>
      </c>
      <c r="F735" t="s">
        <v>40</v>
      </c>
      <c r="G735" t="s">
        <v>27</v>
      </c>
      <c r="H735" s="1">
        <v>45487</v>
      </c>
      <c r="I735" s="1">
        <v>45487</v>
      </c>
      <c r="J735">
        <f>Sheet1[[#This Row],[Close Date]]-Sheet1[[#This Row],[Open Date]]</f>
        <v>0</v>
      </c>
      <c r="K735" t="str">
        <f>IF(Sheet1[[#This Row],[Actual Days]]&gt;=1,"Not Met","Met")</f>
        <v>Met</v>
      </c>
      <c r="L735" t="str">
        <f>TEXT(Sheet1[[#This Row],[Open Date]],"mmm")</f>
        <v>Jul</v>
      </c>
    </row>
    <row r="736" spans="1:12" x14ac:dyDescent="0.3">
      <c r="A736" t="s">
        <v>996</v>
      </c>
      <c r="B736" t="s">
        <v>42</v>
      </c>
      <c r="C736" t="s">
        <v>104</v>
      </c>
      <c r="D736" t="s">
        <v>156</v>
      </c>
      <c r="E736" t="s">
        <v>400</v>
      </c>
      <c r="F736" t="s">
        <v>26</v>
      </c>
      <c r="G736" t="s">
        <v>34</v>
      </c>
      <c r="H736" s="1">
        <v>45624</v>
      </c>
      <c r="I736" s="1">
        <v>45624</v>
      </c>
      <c r="J736">
        <f>Sheet1[[#This Row],[Close Date]]-Sheet1[[#This Row],[Open Date]]</f>
        <v>0</v>
      </c>
      <c r="K736" t="str">
        <f>IF(Sheet1[[#This Row],[Actual Days]]&gt;=1,"Not Met","Met")</f>
        <v>Met</v>
      </c>
      <c r="L736" t="str">
        <f>TEXT(Sheet1[[#This Row],[Open Date]],"mmm")</f>
        <v>Nov</v>
      </c>
    </row>
    <row r="737" spans="1:12" x14ac:dyDescent="0.3">
      <c r="A737" t="s">
        <v>997</v>
      </c>
      <c r="B737" t="s">
        <v>42</v>
      </c>
      <c r="C737" t="s">
        <v>43</v>
      </c>
      <c r="D737" t="s">
        <v>73</v>
      </c>
      <c r="E737" t="s">
        <v>402</v>
      </c>
      <c r="F737" t="s">
        <v>26</v>
      </c>
      <c r="G737" t="s">
        <v>27</v>
      </c>
      <c r="H737" s="1">
        <v>45604</v>
      </c>
      <c r="I737" s="1">
        <v>45604</v>
      </c>
      <c r="J737">
        <f>Sheet1[[#This Row],[Close Date]]-Sheet1[[#This Row],[Open Date]]</f>
        <v>0</v>
      </c>
      <c r="K737" t="str">
        <f>IF(Sheet1[[#This Row],[Actual Days]]&gt;=1,"Not Met","Met")</f>
        <v>Met</v>
      </c>
      <c r="L737" t="str">
        <f>TEXT(Sheet1[[#This Row],[Open Date]],"mmm")</f>
        <v>Nov</v>
      </c>
    </row>
    <row r="738" spans="1:12" x14ac:dyDescent="0.3">
      <c r="A738" t="s">
        <v>998</v>
      </c>
      <c r="B738" t="s">
        <v>13</v>
      </c>
      <c r="C738" t="s">
        <v>14</v>
      </c>
      <c r="D738" t="s">
        <v>24</v>
      </c>
      <c r="E738" t="s">
        <v>404</v>
      </c>
      <c r="F738" t="s">
        <v>17</v>
      </c>
      <c r="G738" t="s">
        <v>34</v>
      </c>
      <c r="H738" s="1">
        <v>45626</v>
      </c>
      <c r="I738" s="1">
        <v>45626</v>
      </c>
      <c r="J738">
        <f>Sheet1[[#This Row],[Close Date]]-Sheet1[[#This Row],[Open Date]]</f>
        <v>0</v>
      </c>
      <c r="K738" t="str">
        <f>IF(Sheet1[[#This Row],[Actual Days]]&gt;=1,"Not Met","Met")</f>
        <v>Met</v>
      </c>
      <c r="L738" t="str">
        <f>TEXT(Sheet1[[#This Row],[Open Date]],"mmm")</f>
        <v>Nov</v>
      </c>
    </row>
    <row r="739" spans="1:12" x14ac:dyDescent="0.3">
      <c r="A739" t="s">
        <v>999</v>
      </c>
      <c r="B739" t="s">
        <v>22</v>
      </c>
      <c r="C739" t="s">
        <v>84</v>
      </c>
      <c r="D739" t="s">
        <v>73</v>
      </c>
      <c r="E739" t="s">
        <v>406</v>
      </c>
      <c r="F739" t="s">
        <v>40</v>
      </c>
      <c r="G739" t="s">
        <v>49</v>
      </c>
      <c r="H739" s="1">
        <v>45565</v>
      </c>
      <c r="I739" s="1">
        <v>45565</v>
      </c>
      <c r="J739">
        <f>Sheet1[[#This Row],[Close Date]]-Sheet1[[#This Row],[Open Date]]</f>
        <v>0</v>
      </c>
      <c r="K739" t="str">
        <f>IF(Sheet1[[#This Row],[Actual Days]]&gt;=1,"Not Met","Met")</f>
        <v>Met</v>
      </c>
      <c r="L739" t="str">
        <f>TEXT(Sheet1[[#This Row],[Open Date]],"mmm")</f>
        <v>Sep</v>
      </c>
    </row>
    <row r="740" spans="1:12" x14ac:dyDescent="0.3">
      <c r="A740" t="s">
        <v>1000</v>
      </c>
      <c r="B740" t="s">
        <v>13</v>
      </c>
      <c r="C740" t="s">
        <v>68</v>
      </c>
      <c r="D740" t="s">
        <v>38</v>
      </c>
      <c r="E740" t="s">
        <v>408</v>
      </c>
      <c r="F740" t="s">
        <v>26</v>
      </c>
      <c r="G740" t="s">
        <v>49</v>
      </c>
      <c r="H740" s="1">
        <v>45618</v>
      </c>
      <c r="I740" s="1">
        <v>45618</v>
      </c>
      <c r="J740">
        <f>Sheet1[[#This Row],[Close Date]]-Sheet1[[#This Row],[Open Date]]</f>
        <v>0</v>
      </c>
      <c r="K740" t="str">
        <f>IF(Sheet1[[#This Row],[Actual Days]]&gt;=1,"Not Met","Met")</f>
        <v>Met</v>
      </c>
      <c r="L740" t="str">
        <f>TEXT(Sheet1[[#This Row],[Open Date]],"mmm")</f>
        <v>Nov</v>
      </c>
    </row>
    <row r="741" spans="1:12" x14ac:dyDescent="0.3">
      <c r="A741" t="s">
        <v>1001</v>
      </c>
      <c r="B741" t="s">
        <v>42</v>
      </c>
      <c r="C741" t="s">
        <v>107</v>
      </c>
      <c r="D741" t="s">
        <v>156</v>
      </c>
      <c r="E741" t="s">
        <v>410</v>
      </c>
      <c r="F741" t="s">
        <v>40</v>
      </c>
      <c r="G741" t="s">
        <v>18</v>
      </c>
      <c r="H741" s="1">
        <v>45510</v>
      </c>
      <c r="I741" s="1">
        <v>45510</v>
      </c>
      <c r="J741">
        <f>Sheet1[[#This Row],[Close Date]]-Sheet1[[#This Row],[Open Date]]</f>
        <v>0</v>
      </c>
      <c r="K741" t="str">
        <f>IF(Sheet1[[#This Row],[Actual Days]]&gt;=1,"Not Met","Met")</f>
        <v>Met</v>
      </c>
      <c r="L741" t="str">
        <f>TEXT(Sheet1[[#This Row],[Open Date]],"mmm")</f>
        <v>Aug</v>
      </c>
    </row>
    <row r="742" spans="1:12" x14ac:dyDescent="0.3">
      <c r="A742" t="s">
        <v>1002</v>
      </c>
      <c r="B742" t="s">
        <v>22</v>
      </c>
      <c r="C742" t="s">
        <v>101</v>
      </c>
      <c r="D742" t="s">
        <v>38</v>
      </c>
      <c r="E742" t="s">
        <v>412</v>
      </c>
      <c r="F742" t="s">
        <v>26</v>
      </c>
      <c r="G742" t="s">
        <v>49</v>
      </c>
      <c r="H742" s="1">
        <v>45507</v>
      </c>
      <c r="I742" s="1">
        <v>45508</v>
      </c>
      <c r="J742">
        <f>Sheet1[[#This Row],[Close Date]]-Sheet1[[#This Row],[Open Date]]</f>
        <v>1</v>
      </c>
      <c r="K742" t="str">
        <f>IF(Sheet1[[#This Row],[Actual Days]]&gt;=1,"Not Met","Met")</f>
        <v>Not Met</v>
      </c>
      <c r="L742" t="str">
        <f>TEXT(Sheet1[[#This Row],[Open Date]],"mmm")</f>
        <v>Aug</v>
      </c>
    </row>
    <row r="743" spans="1:12" x14ac:dyDescent="0.3">
      <c r="A743" t="s">
        <v>1003</v>
      </c>
      <c r="B743" t="s">
        <v>30</v>
      </c>
      <c r="C743" t="s">
        <v>31</v>
      </c>
      <c r="D743" t="s">
        <v>38</v>
      </c>
      <c r="E743" t="s">
        <v>414</v>
      </c>
      <c r="F743" t="s">
        <v>40</v>
      </c>
      <c r="G743" t="s">
        <v>18</v>
      </c>
      <c r="H743" s="1">
        <v>45585</v>
      </c>
      <c r="I743" s="1">
        <v>45585</v>
      </c>
      <c r="J743">
        <f>Sheet1[[#This Row],[Close Date]]-Sheet1[[#This Row],[Open Date]]</f>
        <v>0</v>
      </c>
      <c r="K743" t="str">
        <f>IF(Sheet1[[#This Row],[Actual Days]]&gt;=1,"Not Met","Met")</f>
        <v>Met</v>
      </c>
      <c r="L743" t="str">
        <f>TEXT(Sheet1[[#This Row],[Open Date]],"mmm")</f>
        <v>Oct</v>
      </c>
    </row>
    <row r="744" spans="1:12" x14ac:dyDescent="0.3">
      <c r="A744" t="s">
        <v>1004</v>
      </c>
      <c r="B744" t="s">
        <v>30</v>
      </c>
      <c r="C744" t="s">
        <v>31</v>
      </c>
      <c r="D744" t="s">
        <v>24</v>
      </c>
      <c r="E744" t="s">
        <v>416</v>
      </c>
      <c r="F744" t="s">
        <v>40</v>
      </c>
      <c r="G744" t="s">
        <v>27</v>
      </c>
      <c r="H744" s="1">
        <v>45615</v>
      </c>
      <c r="I744" s="1">
        <v>45615</v>
      </c>
      <c r="J744">
        <f>Sheet1[[#This Row],[Close Date]]-Sheet1[[#This Row],[Open Date]]</f>
        <v>0</v>
      </c>
      <c r="K744" t="str">
        <f>IF(Sheet1[[#This Row],[Actual Days]]&gt;=1,"Not Met","Met")</f>
        <v>Met</v>
      </c>
      <c r="L744" t="str">
        <f>TEXT(Sheet1[[#This Row],[Open Date]],"mmm")</f>
        <v>Nov</v>
      </c>
    </row>
    <row r="745" spans="1:12" x14ac:dyDescent="0.3">
      <c r="A745" t="s">
        <v>1005</v>
      </c>
      <c r="B745" t="s">
        <v>30</v>
      </c>
      <c r="C745" t="s">
        <v>51</v>
      </c>
      <c r="D745" t="s">
        <v>87</v>
      </c>
      <c r="E745" t="s">
        <v>418</v>
      </c>
      <c r="F745" t="s">
        <v>26</v>
      </c>
      <c r="G745" t="s">
        <v>49</v>
      </c>
      <c r="H745" s="1">
        <v>45518</v>
      </c>
      <c r="I745" s="1">
        <v>45518</v>
      </c>
      <c r="J745">
        <f>Sheet1[[#This Row],[Close Date]]-Sheet1[[#This Row],[Open Date]]</f>
        <v>0</v>
      </c>
      <c r="K745" t="str">
        <f>IF(Sheet1[[#This Row],[Actual Days]]&gt;=1,"Not Met","Met")</f>
        <v>Met</v>
      </c>
      <c r="L745" t="str">
        <f>TEXT(Sheet1[[#This Row],[Open Date]],"mmm")</f>
        <v>Aug</v>
      </c>
    </row>
    <row r="746" spans="1:12" x14ac:dyDescent="0.3">
      <c r="A746" t="s">
        <v>1006</v>
      </c>
      <c r="B746" t="s">
        <v>42</v>
      </c>
      <c r="C746" t="s">
        <v>43</v>
      </c>
      <c r="D746" t="s">
        <v>38</v>
      </c>
      <c r="E746" t="s">
        <v>420</v>
      </c>
      <c r="F746" t="s">
        <v>40</v>
      </c>
      <c r="G746" t="s">
        <v>18</v>
      </c>
      <c r="H746" s="1">
        <v>45474</v>
      </c>
      <c r="I746" s="1">
        <v>45474</v>
      </c>
      <c r="J746">
        <f>Sheet1[[#This Row],[Close Date]]-Sheet1[[#This Row],[Open Date]]</f>
        <v>0</v>
      </c>
      <c r="K746" t="str">
        <f>IF(Sheet1[[#This Row],[Actual Days]]&gt;=1,"Not Met","Met")</f>
        <v>Met</v>
      </c>
      <c r="L746" t="str">
        <f>TEXT(Sheet1[[#This Row],[Open Date]],"mmm")</f>
        <v>Jul</v>
      </c>
    </row>
    <row r="747" spans="1:12" x14ac:dyDescent="0.3">
      <c r="A747" t="s">
        <v>1007</v>
      </c>
      <c r="B747" t="s">
        <v>30</v>
      </c>
      <c r="C747" t="s">
        <v>161</v>
      </c>
      <c r="D747" t="s">
        <v>94</v>
      </c>
      <c r="E747" t="s">
        <v>422</v>
      </c>
      <c r="F747" t="s">
        <v>17</v>
      </c>
      <c r="G747" t="s">
        <v>34</v>
      </c>
      <c r="H747" s="1">
        <v>45628</v>
      </c>
      <c r="I747" s="1">
        <v>45629</v>
      </c>
      <c r="J747">
        <f>Sheet1[[#This Row],[Close Date]]-Sheet1[[#This Row],[Open Date]]</f>
        <v>1</v>
      </c>
      <c r="K747" t="str">
        <f>IF(Sheet1[[#This Row],[Actual Days]]&gt;=1,"Not Met","Met")</f>
        <v>Not Met</v>
      </c>
      <c r="L747" t="str">
        <f>TEXT(Sheet1[[#This Row],[Open Date]],"mmm")</f>
        <v>Dec</v>
      </c>
    </row>
    <row r="748" spans="1:12" x14ac:dyDescent="0.3">
      <c r="A748" t="s">
        <v>1008</v>
      </c>
      <c r="B748" t="s">
        <v>36</v>
      </c>
      <c r="C748" t="s">
        <v>62</v>
      </c>
      <c r="D748" t="s">
        <v>73</v>
      </c>
      <c r="E748" t="s">
        <v>424</v>
      </c>
      <c r="F748" t="s">
        <v>40</v>
      </c>
      <c r="G748" t="s">
        <v>34</v>
      </c>
      <c r="H748" s="1">
        <v>45522</v>
      </c>
      <c r="I748" s="1">
        <v>45522</v>
      </c>
      <c r="J748">
        <f>Sheet1[[#This Row],[Close Date]]-Sheet1[[#This Row],[Open Date]]</f>
        <v>0</v>
      </c>
      <c r="K748" t="str">
        <f>IF(Sheet1[[#This Row],[Actual Days]]&gt;=1,"Not Met","Met")</f>
        <v>Met</v>
      </c>
      <c r="L748" t="str">
        <f>TEXT(Sheet1[[#This Row],[Open Date]],"mmm")</f>
        <v>Aug</v>
      </c>
    </row>
    <row r="749" spans="1:12" x14ac:dyDescent="0.3">
      <c r="A749" t="s">
        <v>1009</v>
      </c>
      <c r="B749" t="s">
        <v>36</v>
      </c>
      <c r="C749" t="s">
        <v>37</v>
      </c>
      <c r="D749" t="s">
        <v>38</v>
      </c>
      <c r="E749" t="s">
        <v>426</v>
      </c>
      <c r="F749" t="s">
        <v>40</v>
      </c>
      <c r="G749" t="s">
        <v>45</v>
      </c>
      <c r="H749" s="1">
        <v>45525</v>
      </c>
      <c r="I749" s="1">
        <v>45525</v>
      </c>
      <c r="J749">
        <f>Sheet1[[#This Row],[Close Date]]-Sheet1[[#This Row],[Open Date]]</f>
        <v>0</v>
      </c>
      <c r="K749" t="str">
        <f>IF(Sheet1[[#This Row],[Actual Days]]&gt;=1,"Not Met","Met")</f>
        <v>Met</v>
      </c>
      <c r="L749" t="str">
        <f>TEXT(Sheet1[[#This Row],[Open Date]],"mmm")</f>
        <v>Aug</v>
      </c>
    </row>
    <row r="750" spans="1:12" x14ac:dyDescent="0.3">
      <c r="A750" t="s">
        <v>1010</v>
      </c>
      <c r="B750" t="s">
        <v>13</v>
      </c>
      <c r="C750" t="s">
        <v>65</v>
      </c>
      <c r="D750" t="s">
        <v>15</v>
      </c>
      <c r="E750" t="s">
        <v>428</v>
      </c>
      <c r="F750" t="s">
        <v>17</v>
      </c>
      <c r="G750" t="s">
        <v>34</v>
      </c>
      <c r="H750" s="1">
        <v>45564</v>
      </c>
      <c r="I750" s="1">
        <v>45564</v>
      </c>
      <c r="J750">
        <f>Sheet1[[#This Row],[Close Date]]-Sheet1[[#This Row],[Open Date]]</f>
        <v>0</v>
      </c>
      <c r="K750" t="str">
        <f>IF(Sheet1[[#This Row],[Actual Days]]&gt;=1,"Not Met","Met")</f>
        <v>Met</v>
      </c>
      <c r="L750" t="str">
        <f>TEXT(Sheet1[[#This Row],[Open Date]],"mmm")</f>
        <v>Sep</v>
      </c>
    </row>
    <row r="751" spans="1:12" x14ac:dyDescent="0.3">
      <c r="A751" t="s">
        <v>1011</v>
      </c>
      <c r="B751" t="s">
        <v>22</v>
      </c>
      <c r="C751" t="s">
        <v>23</v>
      </c>
      <c r="D751" t="s">
        <v>24</v>
      </c>
      <c r="E751" t="s">
        <v>430</v>
      </c>
      <c r="F751" t="s">
        <v>26</v>
      </c>
      <c r="G751" t="s">
        <v>18</v>
      </c>
      <c r="H751" s="1">
        <v>45565</v>
      </c>
      <c r="I751" s="1">
        <v>45565</v>
      </c>
      <c r="J751">
        <f>Sheet1[[#This Row],[Close Date]]-Sheet1[[#This Row],[Open Date]]</f>
        <v>0</v>
      </c>
      <c r="K751" t="str">
        <f>IF(Sheet1[[#This Row],[Actual Days]]&gt;=1,"Not Met","Met")</f>
        <v>Met</v>
      </c>
      <c r="L751" t="str">
        <f>TEXT(Sheet1[[#This Row],[Open Date]],"mmm")</f>
        <v>Sep</v>
      </c>
    </row>
    <row r="752" spans="1:12" x14ac:dyDescent="0.3">
      <c r="A752" t="s">
        <v>1012</v>
      </c>
      <c r="B752" t="s">
        <v>36</v>
      </c>
      <c r="C752" t="s">
        <v>62</v>
      </c>
      <c r="D752" t="s">
        <v>24</v>
      </c>
      <c r="E752" t="s">
        <v>432</v>
      </c>
      <c r="F752" t="s">
        <v>40</v>
      </c>
      <c r="G752" t="s">
        <v>59</v>
      </c>
      <c r="H752" s="1">
        <v>45633</v>
      </c>
      <c r="I752" s="1">
        <v>45633</v>
      </c>
      <c r="J752">
        <f>Sheet1[[#This Row],[Close Date]]-Sheet1[[#This Row],[Open Date]]</f>
        <v>0</v>
      </c>
      <c r="K752" t="str">
        <f>IF(Sheet1[[#This Row],[Actual Days]]&gt;=1,"Not Met","Met")</f>
        <v>Met</v>
      </c>
      <c r="L752" t="str">
        <f>TEXT(Sheet1[[#This Row],[Open Date]],"mmm")</f>
        <v>Dec</v>
      </c>
    </row>
    <row r="753" spans="1:12" x14ac:dyDescent="0.3">
      <c r="A753" t="s">
        <v>1013</v>
      </c>
      <c r="B753" t="s">
        <v>13</v>
      </c>
      <c r="C753" t="s">
        <v>14</v>
      </c>
      <c r="D753" t="s">
        <v>38</v>
      </c>
      <c r="E753" t="s">
        <v>434</v>
      </c>
      <c r="F753" t="s">
        <v>26</v>
      </c>
      <c r="G753" t="s">
        <v>27</v>
      </c>
      <c r="H753" s="1">
        <v>45510</v>
      </c>
      <c r="I753" s="1">
        <v>45510</v>
      </c>
      <c r="J753">
        <f>Sheet1[[#This Row],[Close Date]]-Sheet1[[#This Row],[Open Date]]</f>
        <v>0</v>
      </c>
      <c r="K753" t="str">
        <f>IF(Sheet1[[#This Row],[Actual Days]]&gt;=1,"Not Met","Met")</f>
        <v>Met</v>
      </c>
      <c r="L753" t="str">
        <f>TEXT(Sheet1[[#This Row],[Open Date]],"mmm")</f>
        <v>Aug</v>
      </c>
    </row>
    <row r="754" spans="1:12" x14ac:dyDescent="0.3">
      <c r="A754" t="s">
        <v>1014</v>
      </c>
      <c r="B754" t="s">
        <v>30</v>
      </c>
      <c r="C754" t="s">
        <v>51</v>
      </c>
      <c r="D754" t="s">
        <v>73</v>
      </c>
      <c r="E754" t="s">
        <v>436</v>
      </c>
      <c r="F754" t="s">
        <v>40</v>
      </c>
      <c r="G754" t="s">
        <v>34</v>
      </c>
      <c r="H754" s="1">
        <v>45633</v>
      </c>
      <c r="I754" s="1">
        <v>45633</v>
      </c>
      <c r="J754">
        <f>Sheet1[[#This Row],[Close Date]]-Sheet1[[#This Row],[Open Date]]</f>
        <v>0</v>
      </c>
      <c r="K754" t="str">
        <f>IF(Sheet1[[#This Row],[Actual Days]]&gt;=1,"Not Met","Met")</f>
        <v>Met</v>
      </c>
      <c r="L754" t="str">
        <f>TEXT(Sheet1[[#This Row],[Open Date]],"mmm")</f>
        <v>Dec</v>
      </c>
    </row>
    <row r="755" spans="1:12" x14ac:dyDescent="0.3">
      <c r="A755" t="s">
        <v>1015</v>
      </c>
      <c r="B755" t="s">
        <v>30</v>
      </c>
      <c r="C755" t="s">
        <v>31</v>
      </c>
      <c r="D755" t="s">
        <v>38</v>
      </c>
      <c r="E755" t="s">
        <v>438</v>
      </c>
      <c r="F755" t="s">
        <v>26</v>
      </c>
      <c r="G755" t="s">
        <v>49</v>
      </c>
      <c r="H755" s="1">
        <v>45474</v>
      </c>
      <c r="I755" s="1">
        <v>45474</v>
      </c>
      <c r="J755">
        <f>Sheet1[[#This Row],[Close Date]]-Sheet1[[#This Row],[Open Date]]</f>
        <v>0</v>
      </c>
      <c r="K755" t="str">
        <f>IF(Sheet1[[#This Row],[Actual Days]]&gt;=1,"Not Met","Met")</f>
        <v>Met</v>
      </c>
      <c r="L755" t="str">
        <f>TEXT(Sheet1[[#This Row],[Open Date]],"mmm")</f>
        <v>Jul</v>
      </c>
    </row>
    <row r="756" spans="1:12" x14ac:dyDescent="0.3">
      <c r="A756" t="s">
        <v>1016</v>
      </c>
      <c r="B756" t="s">
        <v>36</v>
      </c>
      <c r="C756" t="s">
        <v>76</v>
      </c>
      <c r="D756" t="s">
        <v>15</v>
      </c>
      <c r="E756" t="s">
        <v>440</v>
      </c>
      <c r="F756" t="s">
        <v>26</v>
      </c>
      <c r="G756" t="s">
        <v>49</v>
      </c>
      <c r="H756" s="1">
        <v>45538</v>
      </c>
      <c r="I756" s="1">
        <v>45538</v>
      </c>
      <c r="J756">
        <f>Sheet1[[#This Row],[Close Date]]-Sheet1[[#This Row],[Open Date]]</f>
        <v>0</v>
      </c>
      <c r="K756" t="str">
        <f>IF(Sheet1[[#This Row],[Actual Days]]&gt;=1,"Not Met","Met")</f>
        <v>Met</v>
      </c>
      <c r="L756" t="str">
        <f>TEXT(Sheet1[[#This Row],[Open Date]],"mmm")</f>
        <v>Sep</v>
      </c>
    </row>
    <row r="757" spans="1:12" x14ac:dyDescent="0.3">
      <c r="A757" t="s">
        <v>1017</v>
      </c>
      <c r="B757" t="s">
        <v>30</v>
      </c>
      <c r="C757" t="s">
        <v>31</v>
      </c>
      <c r="D757" t="s">
        <v>38</v>
      </c>
      <c r="E757" t="s">
        <v>442</v>
      </c>
      <c r="F757" t="s">
        <v>17</v>
      </c>
      <c r="G757" t="s">
        <v>45</v>
      </c>
      <c r="H757" s="1">
        <v>45492</v>
      </c>
      <c r="I757" s="1">
        <v>45492</v>
      </c>
      <c r="J757">
        <f>Sheet1[[#This Row],[Close Date]]-Sheet1[[#This Row],[Open Date]]</f>
        <v>0</v>
      </c>
      <c r="K757" t="str">
        <f>IF(Sheet1[[#This Row],[Actual Days]]&gt;=1,"Not Met","Met")</f>
        <v>Met</v>
      </c>
      <c r="L757" t="str">
        <f>TEXT(Sheet1[[#This Row],[Open Date]],"mmm")</f>
        <v>Jul</v>
      </c>
    </row>
    <row r="758" spans="1:12" x14ac:dyDescent="0.3">
      <c r="A758" t="s">
        <v>1018</v>
      </c>
      <c r="B758" t="s">
        <v>22</v>
      </c>
      <c r="C758" t="s">
        <v>84</v>
      </c>
      <c r="D758" t="s">
        <v>94</v>
      </c>
      <c r="E758" t="s">
        <v>444</v>
      </c>
      <c r="F758" t="s">
        <v>26</v>
      </c>
      <c r="G758" t="s">
        <v>27</v>
      </c>
      <c r="H758" s="1">
        <v>45590</v>
      </c>
      <c r="I758" s="1">
        <v>45590</v>
      </c>
      <c r="J758">
        <f>Sheet1[[#This Row],[Close Date]]-Sheet1[[#This Row],[Open Date]]</f>
        <v>0</v>
      </c>
      <c r="K758" t="str">
        <f>IF(Sheet1[[#This Row],[Actual Days]]&gt;=1,"Not Met","Met")</f>
        <v>Met</v>
      </c>
      <c r="L758" t="str">
        <f>TEXT(Sheet1[[#This Row],[Open Date]],"mmm")</f>
        <v>Oct</v>
      </c>
    </row>
    <row r="759" spans="1:12" x14ac:dyDescent="0.3">
      <c r="A759" t="s">
        <v>1019</v>
      </c>
      <c r="B759" t="s">
        <v>22</v>
      </c>
      <c r="C759" t="s">
        <v>23</v>
      </c>
      <c r="D759" t="s">
        <v>73</v>
      </c>
      <c r="E759" t="s">
        <v>446</v>
      </c>
      <c r="F759" t="s">
        <v>26</v>
      </c>
      <c r="G759" t="s">
        <v>45</v>
      </c>
      <c r="H759" s="1">
        <v>45628</v>
      </c>
      <c r="I759" s="1">
        <v>45628</v>
      </c>
      <c r="J759">
        <f>Sheet1[[#This Row],[Close Date]]-Sheet1[[#This Row],[Open Date]]</f>
        <v>0</v>
      </c>
      <c r="K759" t="str">
        <f>IF(Sheet1[[#This Row],[Actual Days]]&gt;=1,"Not Met","Met")</f>
        <v>Met</v>
      </c>
      <c r="L759" t="str">
        <f>TEXT(Sheet1[[#This Row],[Open Date]],"mmm")</f>
        <v>Dec</v>
      </c>
    </row>
    <row r="760" spans="1:12" x14ac:dyDescent="0.3">
      <c r="A760" t="s">
        <v>1020</v>
      </c>
      <c r="B760" t="s">
        <v>22</v>
      </c>
      <c r="C760" t="s">
        <v>84</v>
      </c>
      <c r="D760" t="s">
        <v>24</v>
      </c>
      <c r="E760" t="s">
        <v>448</v>
      </c>
      <c r="F760" t="s">
        <v>26</v>
      </c>
      <c r="G760" t="s">
        <v>18</v>
      </c>
      <c r="H760" s="1">
        <v>45599</v>
      </c>
      <c r="I760" s="1">
        <v>45599</v>
      </c>
      <c r="J760">
        <f>Sheet1[[#This Row],[Close Date]]-Sheet1[[#This Row],[Open Date]]</f>
        <v>0</v>
      </c>
      <c r="K760" t="str">
        <f>IF(Sheet1[[#This Row],[Actual Days]]&gt;=1,"Not Met","Met")</f>
        <v>Met</v>
      </c>
      <c r="L760" t="str">
        <f>TEXT(Sheet1[[#This Row],[Open Date]],"mmm")</f>
        <v>Nov</v>
      </c>
    </row>
    <row r="761" spans="1:12" x14ac:dyDescent="0.3">
      <c r="A761" t="s">
        <v>1021</v>
      </c>
      <c r="B761" t="s">
        <v>42</v>
      </c>
      <c r="C761" t="s">
        <v>43</v>
      </c>
      <c r="D761" t="s">
        <v>38</v>
      </c>
      <c r="E761" t="s">
        <v>450</v>
      </c>
      <c r="F761" t="s">
        <v>26</v>
      </c>
      <c r="G761" t="s">
        <v>18</v>
      </c>
      <c r="H761" s="1">
        <v>45612</v>
      </c>
      <c r="I761" s="1">
        <v>45612</v>
      </c>
      <c r="J761">
        <f>Sheet1[[#This Row],[Close Date]]-Sheet1[[#This Row],[Open Date]]</f>
        <v>0</v>
      </c>
      <c r="K761" t="str">
        <f>IF(Sheet1[[#This Row],[Actual Days]]&gt;=1,"Not Met","Met")</f>
        <v>Met</v>
      </c>
      <c r="L761" t="str">
        <f>TEXT(Sheet1[[#This Row],[Open Date]],"mmm")</f>
        <v>Nov</v>
      </c>
    </row>
    <row r="762" spans="1:12" x14ac:dyDescent="0.3">
      <c r="A762" t="s">
        <v>1022</v>
      </c>
      <c r="B762" t="s">
        <v>13</v>
      </c>
      <c r="C762" t="s">
        <v>14</v>
      </c>
      <c r="D762" t="s">
        <v>15</v>
      </c>
      <c r="E762" t="s">
        <v>16</v>
      </c>
      <c r="F762" t="s">
        <v>17</v>
      </c>
      <c r="G762" t="s">
        <v>18</v>
      </c>
      <c r="H762" s="1">
        <v>45524</v>
      </c>
      <c r="I762" s="1">
        <v>45524</v>
      </c>
      <c r="J762">
        <f>Sheet1[[#This Row],[Close Date]]-Sheet1[[#This Row],[Open Date]]</f>
        <v>0</v>
      </c>
      <c r="K762" t="str">
        <f>IF(Sheet1[[#This Row],[Actual Days]]&gt;=1,"Not Met","Met")</f>
        <v>Met</v>
      </c>
      <c r="L762" t="str">
        <f>TEXT(Sheet1[[#This Row],[Open Date]],"mmm")</f>
        <v>Aug</v>
      </c>
    </row>
    <row r="763" spans="1:12" x14ac:dyDescent="0.3">
      <c r="A763" t="s">
        <v>1023</v>
      </c>
      <c r="B763" t="s">
        <v>22</v>
      </c>
      <c r="C763" t="s">
        <v>23</v>
      </c>
      <c r="D763" t="s">
        <v>24</v>
      </c>
      <c r="E763" t="s">
        <v>25</v>
      </c>
      <c r="F763" t="s">
        <v>26</v>
      </c>
      <c r="G763" t="s">
        <v>27</v>
      </c>
      <c r="H763" s="1">
        <v>45628</v>
      </c>
      <c r="I763" s="1">
        <v>45628</v>
      </c>
      <c r="J763">
        <f>Sheet1[[#This Row],[Close Date]]-Sheet1[[#This Row],[Open Date]]</f>
        <v>0</v>
      </c>
      <c r="K763" t="str">
        <f>IF(Sheet1[[#This Row],[Actual Days]]&gt;=1,"Not Met","Met")</f>
        <v>Met</v>
      </c>
      <c r="L763" t="str">
        <f>TEXT(Sheet1[[#This Row],[Open Date]],"mmm")</f>
        <v>Dec</v>
      </c>
    </row>
    <row r="764" spans="1:12" x14ac:dyDescent="0.3">
      <c r="A764" t="s">
        <v>1024</v>
      </c>
      <c r="B764" t="s">
        <v>30</v>
      </c>
      <c r="C764" t="s">
        <v>31</v>
      </c>
      <c r="D764" t="s">
        <v>32</v>
      </c>
      <c r="E764" t="s">
        <v>33</v>
      </c>
      <c r="F764" t="s">
        <v>26</v>
      </c>
      <c r="G764" t="s">
        <v>34</v>
      </c>
      <c r="H764" s="1">
        <v>45513</v>
      </c>
      <c r="I764" s="1">
        <v>45513</v>
      </c>
      <c r="J764">
        <f>Sheet1[[#This Row],[Close Date]]-Sheet1[[#This Row],[Open Date]]</f>
        <v>0</v>
      </c>
      <c r="K764" t="str">
        <f>IF(Sheet1[[#This Row],[Actual Days]]&gt;=1,"Not Met","Met")</f>
        <v>Met</v>
      </c>
      <c r="L764" t="str">
        <f>TEXT(Sheet1[[#This Row],[Open Date]],"mmm")</f>
        <v>Aug</v>
      </c>
    </row>
    <row r="765" spans="1:12" x14ac:dyDescent="0.3">
      <c r="A765" t="s">
        <v>1025</v>
      </c>
      <c r="B765" t="s">
        <v>36</v>
      </c>
      <c r="C765" t="s">
        <v>37</v>
      </c>
      <c r="D765" t="s">
        <v>38</v>
      </c>
      <c r="E765" t="s">
        <v>39</v>
      </c>
      <c r="F765" t="s">
        <v>40</v>
      </c>
      <c r="G765" t="s">
        <v>18</v>
      </c>
      <c r="H765" s="1">
        <v>45627</v>
      </c>
      <c r="I765" s="1">
        <v>45627</v>
      </c>
      <c r="J765">
        <f>Sheet1[[#This Row],[Close Date]]-Sheet1[[#This Row],[Open Date]]</f>
        <v>0</v>
      </c>
      <c r="K765" t="str">
        <f>IF(Sheet1[[#This Row],[Actual Days]]&gt;=1,"Not Met","Met")</f>
        <v>Met</v>
      </c>
      <c r="L765" t="str">
        <f>TEXT(Sheet1[[#This Row],[Open Date]],"mmm")</f>
        <v>Dec</v>
      </c>
    </row>
    <row r="766" spans="1:12" x14ac:dyDescent="0.3">
      <c r="A766" t="s">
        <v>1026</v>
      </c>
      <c r="B766" t="s">
        <v>42</v>
      </c>
      <c r="C766" t="s">
        <v>43</v>
      </c>
      <c r="D766" t="s">
        <v>156</v>
      </c>
      <c r="E766" t="s">
        <v>44</v>
      </c>
      <c r="F766" t="s">
        <v>40</v>
      </c>
      <c r="G766" t="s">
        <v>45</v>
      </c>
      <c r="H766" s="1">
        <v>45486</v>
      </c>
      <c r="I766" s="1">
        <v>45486</v>
      </c>
      <c r="J766">
        <f>Sheet1[[#This Row],[Close Date]]-Sheet1[[#This Row],[Open Date]]</f>
        <v>0</v>
      </c>
      <c r="K766" t="str">
        <f>IF(Sheet1[[#This Row],[Actual Days]]&gt;=1,"Not Met","Met")</f>
        <v>Met</v>
      </c>
      <c r="L766" t="str">
        <f>TEXT(Sheet1[[#This Row],[Open Date]],"mmm")</f>
        <v>Jul</v>
      </c>
    </row>
    <row r="767" spans="1:12" x14ac:dyDescent="0.3">
      <c r="A767" t="s">
        <v>1027</v>
      </c>
      <c r="B767" t="s">
        <v>22</v>
      </c>
      <c r="C767" t="s">
        <v>23</v>
      </c>
      <c r="D767" t="s">
        <v>15</v>
      </c>
      <c r="E767" t="s">
        <v>48</v>
      </c>
      <c r="F767" t="s">
        <v>40</v>
      </c>
      <c r="G767" t="s">
        <v>49</v>
      </c>
      <c r="H767" s="1">
        <v>45520</v>
      </c>
      <c r="I767" s="1">
        <v>45521</v>
      </c>
      <c r="J767">
        <f>Sheet1[[#This Row],[Close Date]]-Sheet1[[#This Row],[Open Date]]</f>
        <v>1</v>
      </c>
      <c r="K767" t="str">
        <f>IF(Sheet1[[#This Row],[Actual Days]]&gt;=1,"Not Met","Met")</f>
        <v>Not Met</v>
      </c>
      <c r="L767" t="str">
        <f>TEXT(Sheet1[[#This Row],[Open Date]],"mmm")</f>
        <v>Aug</v>
      </c>
    </row>
    <row r="768" spans="1:12" x14ac:dyDescent="0.3">
      <c r="A768" t="s">
        <v>1028</v>
      </c>
      <c r="B768" t="s">
        <v>30</v>
      </c>
      <c r="C768" t="s">
        <v>51</v>
      </c>
      <c r="D768" t="s">
        <v>15</v>
      </c>
      <c r="E768" t="s">
        <v>52</v>
      </c>
      <c r="F768" t="s">
        <v>40</v>
      </c>
      <c r="G768" t="s">
        <v>49</v>
      </c>
      <c r="H768" s="1">
        <v>45496</v>
      </c>
      <c r="I768" s="1">
        <v>45496</v>
      </c>
      <c r="J768">
        <f>Sheet1[[#This Row],[Close Date]]-Sheet1[[#This Row],[Open Date]]</f>
        <v>0</v>
      </c>
      <c r="K768" t="str">
        <f>IF(Sheet1[[#This Row],[Actual Days]]&gt;=1,"Not Met","Met")</f>
        <v>Met</v>
      </c>
      <c r="L768" t="str">
        <f>TEXT(Sheet1[[#This Row],[Open Date]],"mmm")</f>
        <v>Jul</v>
      </c>
    </row>
    <row r="769" spans="1:12" x14ac:dyDescent="0.3">
      <c r="A769" t="s">
        <v>1029</v>
      </c>
      <c r="B769" t="s">
        <v>30</v>
      </c>
      <c r="C769" t="s">
        <v>51</v>
      </c>
      <c r="D769" t="s">
        <v>32</v>
      </c>
      <c r="E769" t="s">
        <v>55</v>
      </c>
      <c r="F769" t="s">
        <v>17</v>
      </c>
      <c r="G769" t="s">
        <v>34</v>
      </c>
      <c r="H769" s="1">
        <v>45583</v>
      </c>
      <c r="I769" s="1">
        <v>45583</v>
      </c>
      <c r="J769">
        <f>Sheet1[[#This Row],[Close Date]]-Sheet1[[#This Row],[Open Date]]</f>
        <v>0</v>
      </c>
      <c r="K769" t="str">
        <f>IF(Sheet1[[#This Row],[Actual Days]]&gt;=1,"Not Met","Met")</f>
        <v>Met</v>
      </c>
      <c r="L769" t="str">
        <f>TEXT(Sheet1[[#This Row],[Open Date]],"mmm")</f>
        <v>Oct</v>
      </c>
    </row>
    <row r="770" spans="1:12" x14ac:dyDescent="0.3">
      <c r="A770" t="s">
        <v>1030</v>
      </c>
      <c r="B770" t="s">
        <v>42</v>
      </c>
      <c r="C770" t="s">
        <v>107</v>
      </c>
      <c r="D770" t="s">
        <v>38</v>
      </c>
      <c r="E770" t="s">
        <v>58</v>
      </c>
      <c r="F770" t="s">
        <v>40</v>
      </c>
      <c r="G770" t="s">
        <v>59</v>
      </c>
      <c r="H770" s="1">
        <v>45612</v>
      </c>
      <c r="I770" s="1">
        <v>45612</v>
      </c>
      <c r="J770">
        <f>Sheet1[[#This Row],[Close Date]]-Sheet1[[#This Row],[Open Date]]</f>
        <v>0</v>
      </c>
      <c r="K770" t="str">
        <f>IF(Sheet1[[#This Row],[Actual Days]]&gt;=1,"Not Met","Met")</f>
        <v>Met</v>
      </c>
      <c r="L770" t="str">
        <f>TEXT(Sheet1[[#This Row],[Open Date]],"mmm")</f>
        <v>Nov</v>
      </c>
    </row>
    <row r="771" spans="1:12" x14ac:dyDescent="0.3">
      <c r="A771" t="s">
        <v>1031</v>
      </c>
      <c r="B771" t="s">
        <v>36</v>
      </c>
      <c r="C771" t="s">
        <v>62</v>
      </c>
      <c r="D771" t="s">
        <v>32</v>
      </c>
      <c r="E771" t="s">
        <v>63</v>
      </c>
      <c r="F771" t="s">
        <v>26</v>
      </c>
      <c r="G771" t="s">
        <v>45</v>
      </c>
      <c r="H771" s="1">
        <v>45567</v>
      </c>
      <c r="I771" s="1">
        <v>45567</v>
      </c>
      <c r="J771">
        <f>Sheet1[[#This Row],[Close Date]]-Sheet1[[#This Row],[Open Date]]</f>
        <v>0</v>
      </c>
      <c r="K771" t="str">
        <f>IF(Sheet1[[#This Row],[Actual Days]]&gt;=1,"Not Met","Met")</f>
        <v>Met</v>
      </c>
      <c r="L771" t="str">
        <f>TEXT(Sheet1[[#This Row],[Open Date]],"mmm")</f>
        <v>Oct</v>
      </c>
    </row>
    <row r="772" spans="1:12" x14ac:dyDescent="0.3">
      <c r="A772" t="s">
        <v>1032</v>
      </c>
      <c r="B772" t="s">
        <v>13</v>
      </c>
      <c r="C772" t="s">
        <v>65</v>
      </c>
      <c r="D772" t="s">
        <v>24</v>
      </c>
      <c r="E772" t="s">
        <v>66</v>
      </c>
      <c r="F772" t="s">
        <v>26</v>
      </c>
      <c r="G772" t="s">
        <v>34</v>
      </c>
      <c r="H772" s="1">
        <v>45621</v>
      </c>
      <c r="I772" s="1">
        <v>45621</v>
      </c>
      <c r="J772">
        <f>Sheet1[[#This Row],[Close Date]]-Sheet1[[#This Row],[Open Date]]</f>
        <v>0</v>
      </c>
      <c r="K772" t="str">
        <f>IF(Sheet1[[#This Row],[Actual Days]]&gt;=1,"Not Met","Met")</f>
        <v>Met</v>
      </c>
      <c r="L772" t="str">
        <f>TEXT(Sheet1[[#This Row],[Open Date]],"mmm")</f>
        <v>Nov</v>
      </c>
    </row>
    <row r="773" spans="1:12" x14ac:dyDescent="0.3">
      <c r="A773" t="s">
        <v>1033</v>
      </c>
      <c r="B773" t="s">
        <v>13</v>
      </c>
      <c r="C773" t="s">
        <v>68</v>
      </c>
      <c r="D773" t="s">
        <v>38</v>
      </c>
      <c r="E773" t="s">
        <v>69</v>
      </c>
      <c r="F773" t="s">
        <v>40</v>
      </c>
      <c r="G773" t="s">
        <v>49</v>
      </c>
      <c r="H773" s="1">
        <v>45634</v>
      </c>
      <c r="I773" s="1">
        <v>45634</v>
      </c>
      <c r="J773">
        <f>Sheet1[[#This Row],[Close Date]]-Sheet1[[#This Row],[Open Date]]</f>
        <v>0</v>
      </c>
      <c r="K773" t="str">
        <f>IF(Sheet1[[#This Row],[Actual Days]]&gt;=1,"Not Met","Met")</f>
        <v>Met</v>
      </c>
      <c r="L773" t="str">
        <f>TEXT(Sheet1[[#This Row],[Open Date]],"mmm")</f>
        <v>Dec</v>
      </c>
    </row>
    <row r="774" spans="1:12" x14ac:dyDescent="0.3">
      <c r="A774" t="s">
        <v>1034</v>
      </c>
      <c r="B774" t="s">
        <v>36</v>
      </c>
      <c r="C774" t="s">
        <v>37</v>
      </c>
      <c r="D774" t="s">
        <v>32</v>
      </c>
      <c r="E774" t="s">
        <v>71</v>
      </c>
      <c r="F774" t="s">
        <v>26</v>
      </c>
      <c r="G774" t="s">
        <v>59</v>
      </c>
      <c r="H774" s="1">
        <v>45526</v>
      </c>
      <c r="I774" s="1">
        <v>45526</v>
      </c>
      <c r="J774">
        <f>Sheet1[[#This Row],[Close Date]]-Sheet1[[#This Row],[Open Date]]</f>
        <v>0</v>
      </c>
      <c r="K774" t="str">
        <f>IF(Sheet1[[#This Row],[Actual Days]]&gt;=1,"Not Met","Met")</f>
        <v>Met</v>
      </c>
      <c r="L774" t="str">
        <f>TEXT(Sheet1[[#This Row],[Open Date]],"mmm")</f>
        <v>Aug</v>
      </c>
    </row>
    <row r="775" spans="1:12" x14ac:dyDescent="0.3">
      <c r="A775" t="s">
        <v>1035</v>
      </c>
      <c r="B775" t="s">
        <v>13</v>
      </c>
      <c r="C775" t="s">
        <v>14</v>
      </c>
      <c r="D775" t="s">
        <v>73</v>
      </c>
      <c r="E775" t="s">
        <v>74</v>
      </c>
      <c r="F775" t="s">
        <v>17</v>
      </c>
      <c r="G775" t="s">
        <v>34</v>
      </c>
      <c r="H775" s="1">
        <v>45524</v>
      </c>
      <c r="I775" s="1">
        <v>45524</v>
      </c>
      <c r="J775">
        <f>Sheet1[[#This Row],[Close Date]]-Sheet1[[#This Row],[Open Date]]</f>
        <v>0</v>
      </c>
      <c r="K775" t="str">
        <f>IF(Sheet1[[#This Row],[Actual Days]]&gt;=1,"Not Met","Met")</f>
        <v>Met</v>
      </c>
      <c r="L775" t="str">
        <f>TEXT(Sheet1[[#This Row],[Open Date]],"mmm")</f>
        <v>Aug</v>
      </c>
    </row>
    <row r="776" spans="1:12" x14ac:dyDescent="0.3">
      <c r="A776" t="s">
        <v>1036</v>
      </c>
      <c r="B776" t="s">
        <v>36</v>
      </c>
      <c r="C776" t="s">
        <v>76</v>
      </c>
      <c r="D776" t="s">
        <v>73</v>
      </c>
      <c r="E776" t="s">
        <v>77</v>
      </c>
      <c r="F776" t="s">
        <v>17</v>
      </c>
      <c r="G776" t="s">
        <v>18</v>
      </c>
      <c r="H776" s="1">
        <v>45635</v>
      </c>
      <c r="I776" s="1">
        <v>45635</v>
      </c>
      <c r="J776">
        <f>Sheet1[[#This Row],[Close Date]]-Sheet1[[#This Row],[Open Date]]</f>
        <v>0</v>
      </c>
      <c r="K776" t="str">
        <f>IF(Sheet1[[#This Row],[Actual Days]]&gt;=1,"Not Met","Met")</f>
        <v>Met</v>
      </c>
      <c r="L776" t="str">
        <f>TEXT(Sheet1[[#This Row],[Open Date]],"mmm")</f>
        <v>Dec</v>
      </c>
    </row>
    <row r="777" spans="1:12" x14ac:dyDescent="0.3">
      <c r="A777" t="s">
        <v>1037</v>
      </c>
      <c r="B777" t="s">
        <v>13</v>
      </c>
      <c r="C777" t="s">
        <v>68</v>
      </c>
      <c r="D777" t="s">
        <v>73</v>
      </c>
      <c r="E777" t="s">
        <v>79</v>
      </c>
      <c r="F777" t="s">
        <v>40</v>
      </c>
      <c r="G777" t="s">
        <v>34</v>
      </c>
      <c r="H777" s="1">
        <v>45478</v>
      </c>
      <c r="I777" s="1">
        <v>45478</v>
      </c>
      <c r="J777">
        <f>Sheet1[[#This Row],[Close Date]]-Sheet1[[#This Row],[Open Date]]</f>
        <v>0</v>
      </c>
      <c r="K777" t="str">
        <f>IF(Sheet1[[#This Row],[Actual Days]]&gt;=1,"Not Met","Met")</f>
        <v>Met</v>
      </c>
      <c r="L777" t="str">
        <f>TEXT(Sheet1[[#This Row],[Open Date]],"mmm")</f>
        <v>Jul</v>
      </c>
    </row>
    <row r="778" spans="1:12" x14ac:dyDescent="0.3">
      <c r="A778" t="s">
        <v>1038</v>
      </c>
      <c r="B778" t="s">
        <v>13</v>
      </c>
      <c r="C778" t="s">
        <v>65</v>
      </c>
      <c r="D778" t="s">
        <v>38</v>
      </c>
      <c r="E778" t="s">
        <v>81</v>
      </c>
      <c r="F778" t="s">
        <v>17</v>
      </c>
      <c r="G778" t="s">
        <v>18</v>
      </c>
      <c r="H778" s="1">
        <v>45545</v>
      </c>
      <c r="I778" s="1">
        <v>45545</v>
      </c>
      <c r="J778">
        <f>Sheet1[[#This Row],[Close Date]]-Sheet1[[#This Row],[Open Date]]</f>
        <v>0</v>
      </c>
      <c r="K778" t="str">
        <f>IF(Sheet1[[#This Row],[Actual Days]]&gt;=1,"Not Met","Met")</f>
        <v>Met</v>
      </c>
      <c r="L778" t="str">
        <f>TEXT(Sheet1[[#This Row],[Open Date]],"mmm")</f>
        <v>Sep</v>
      </c>
    </row>
    <row r="779" spans="1:12" x14ac:dyDescent="0.3">
      <c r="A779" t="s">
        <v>1039</v>
      </c>
      <c r="B779" t="s">
        <v>22</v>
      </c>
      <c r="C779" t="s">
        <v>84</v>
      </c>
      <c r="D779" t="s">
        <v>38</v>
      </c>
      <c r="E779" t="s">
        <v>85</v>
      </c>
      <c r="F779" t="s">
        <v>40</v>
      </c>
      <c r="G779" t="s">
        <v>18</v>
      </c>
      <c r="H779" s="1">
        <v>45588</v>
      </c>
      <c r="I779" s="1">
        <v>45588</v>
      </c>
      <c r="J779">
        <f>Sheet1[[#This Row],[Close Date]]-Sheet1[[#This Row],[Open Date]]</f>
        <v>0</v>
      </c>
      <c r="K779" t="str">
        <f>IF(Sheet1[[#This Row],[Actual Days]]&gt;=1,"Not Met","Met")</f>
        <v>Met</v>
      </c>
      <c r="L779" t="str">
        <f>TEXT(Sheet1[[#This Row],[Open Date]],"mmm")</f>
        <v>Oct</v>
      </c>
    </row>
    <row r="780" spans="1:12" x14ac:dyDescent="0.3">
      <c r="A780" t="s">
        <v>1040</v>
      </c>
      <c r="B780" t="s">
        <v>13</v>
      </c>
      <c r="C780" t="s">
        <v>14</v>
      </c>
      <c r="D780" t="s">
        <v>87</v>
      </c>
      <c r="E780" t="s">
        <v>88</v>
      </c>
      <c r="F780" t="s">
        <v>17</v>
      </c>
      <c r="G780" t="s">
        <v>45</v>
      </c>
      <c r="H780" s="1">
        <v>45478</v>
      </c>
      <c r="I780" s="1">
        <v>45478</v>
      </c>
      <c r="J780">
        <f>Sheet1[[#This Row],[Close Date]]-Sheet1[[#This Row],[Open Date]]</f>
        <v>0</v>
      </c>
      <c r="K780" t="str">
        <f>IF(Sheet1[[#This Row],[Actual Days]]&gt;=1,"Not Met","Met")</f>
        <v>Met</v>
      </c>
      <c r="L780" t="str">
        <f>TEXT(Sheet1[[#This Row],[Open Date]],"mmm")</f>
        <v>Jul</v>
      </c>
    </row>
    <row r="781" spans="1:12" x14ac:dyDescent="0.3">
      <c r="A781" t="s">
        <v>1041</v>
      </c>
      <c r="B781" t="s">
        <v>13</v>
      </c>
      <c r="C781" t="s">
        <v>65</v>
      </c>
      <c r="D781" t="s">
        <v>38</v>
      </c>
      <c r="E781" t="s">
        <v>90</v>
      </c>
      <c r="F781" t="s">
        <v>17</v>
      </c>
      <c r="G781" t="s">
        <v>45</v>
      </c>
      <c r="H781" s="1">
        <v>45508</v>
      </c>
      <c r="I781" s="1">
        <v>45508</v>
      </c>
      <c r="J781">
        <f>Sheet1[[#This Row],[Close Date]]-Sheet1[[#This Row],[Open Date]]</f>
        <v>0</v>
      </c>
      <c r="K781" t="str">
        <f>IF(Sheet1[[#This Row],[Actual Days]]&gt;=1,"Not Met","Met")</f>
        <v>Met</v>
      </c>
      <c r="L781" t="str">
        <f>TEXT(Sheet1[[#This Row],[Open Date]],"mmm")</f>
        <v>Aug</v>
      </c>
    </row>
    <row r="782" spans="1:12" x14ac:dyDescent="0.3">
      <c r="A782" t="s">
        <v>1042</v>
      </c>
      <c r="B782" t="s">
        <v>30</v>
      </c>
      <c r="C782" t="s">
        <v>51</v>
      </c>
      <c r="D782" t="s">
        <v>38</v>
      </c>
      <c r="E782" t="s">
        <v>92</v>
      </c>
      <c r="F782" t="s">
        <v>40</v>
      </c>
      <c r="G782" t="s">
        <v>18</v>
      </c>
      <c r="H782" s="1">
        <v>45511</v>
      </c>
      <c r="I782" s="1">
        <v>45511</v>
      </c>
      <c r="J782">
        <f>Sheet1[[#This Row],[Close Date]]-Sheet1[[#This Row],[Open Date]]</f>
        <v>0</v>
      </c>
      <c r="K782" t="str">
        <f>IF(Sheet1[[#This Row],[Actual Days]]&gt;=1,"Not Met","Met")</f>
        <v>Met</v>
      </c>
      <c r="L782" t="str">
        <f>TEXT(Sheet1[[#This Row],[Open Date]],"mmm")</f>
        <v>Aug</v>
      </c>
    </row>
    <row r="783" spans="1:12" x14ac:dyDescent="0.3">
      <c r="A783" t="s">
        <v>1043</v>
      </c>
      <c r="B783" t="s">
        <v>36</v>
      </c>
      <c r="C783" t="s">
        <v>37</v>
      </c>
      <c r="D783" t="s">
        <v>94</v>
      </c>
      <c r="E783" t="s">
        <v>95</v>
      </c>
      <c r="F783" t="s">
        <v>40</v>
      </c>
      <c r="G783" t="s">
        <v>18</v>
      </c>
      <c r="H783" s="1">
        <v>45483</v>
      </c>
      <c r="I783" s="1">
        <v>45483</v>
      </c>
      <c r="J783">
        <f>Sheet1[[#This Row],[Close Date]]-Sheet1[[#This Row],[Open Date]]</f>
        <v>0</v>
      </c>
      <c r="K783" t="str">
        <f>IF(Sheet1[[#This Row],[Actual Days]]&gt;=1,"Not Met","Met")</f>
        <v>Met</v>
      </c>
      <c r="L783" t="str">
        <f>TEXT(Sheet1[[#This Row],[Open Date]],"mmm")</f>
        <v>Jul</v>
      </c>
    </row>
    <row r="784" spans="1:12" x14ac:dyDescent="0.3">
      <c r="A784" t="s">
        <v>1044</v>
      </c>
      <c r="B784" t="s">
        <v>36</v>
      </c>
      <c r="C784" t="s">
        <v>76</v>
      </c>
      <c r="D784" t="s">
        <v>38</v>
      </c>
      <c r="E784" t="s">
        <v>97</v>
      </c>
      <c r="F784" t="s">
        <v>26</v>
      </c>
      <c r="G784" t="s">
        <v>59</v>
      </c>
      <c r="H784" s="1">
        <v>45597</v>
      </c>
      <c r="I784" s="1">
        <v>45597</v>
      </c>
      <c r="J784">
        <f>Sheet1[[#This Row],[Close Date]]-Sheet1[[#This Row],[Open Date]]</f>
        <v>0</v>
      </c>
      <c r="K784" t="str">
        <f>IF(Sheet1[[#This Row],[Actual Days]]&gt;=1,"Not Met","Met")</f>
        <v>Met</v>
      </c>
      <c r="L784" t="str">
        <f>TEXT(Sheet1[[#This Row],[Open Date]],"mmm")</f>
        <v>Nov</v>
      </c>
    </row>
    <row r="785" spans="1:12" x14ac:dyDescent="0.3">
      <c r="A785" t="s">
        <v>1045</v>
      </c>
      <c r="B785" t="s">
        <v>13</v>
      </c>
      <c r="C785" t="s">
        <v>14</v>
      </c>
      <c r="D785" t="s">
        <v>15</v>
      </c>
      <c r="E785" t="s">
        <v>99</v>
      </c>
      <c r="F785" t="s">
        <v>17</v>
      </c>
      <c r="G785" t="s">
        <v>34</v>
      </c>
      <c r="H785" s="1">
        <v>45561</v>
      </c>
      <c r="I785" s="1">
        <v>45561</v>
      </c>
      <c r="J785">
        <f>Sheet1[[#This Row],[Close Date]]-Sheet1[[#This Row],[Open Date]]</f>
        <v>0</v>
      </c>
      <c r="K785" t="str">
        <f>IF(Sheet1[[#This Row],[Actual Days]]&gt;=1,"Not Met","Met")</f>
        <v>Met</v>
      </c>
      <c r="L785" t="str">
        <f>TEXT(Sheet1[[#This Row],[Open Date]],"mmm")</f>
        <v>Sep</v>
      </c>
    </row>
    <row r="786" spans="1:12" x14ac:dyDescent="0.3">
      <c r="A786" t="s">
        <v>1046</v>
      </c>
      <c r="B786" t="s">
        <v>22</v>
      </c>
      <c r="C786" t="s">
        <v>101</v>
      </c>
      <c r="D786" t="s">
        <v>73</v>
      </c>
      <c r="E786" t="s">
        <v>102</v>
      </c>
      <c r="F786" t="s">
        <v>26</v>
      </c>
      <c r="G786" t="s">
        <v>27</v>
      </c>
      <c r="H786" s="1">
        <v>45504</v>
      </c>
      <c r="I786" s="1">
        <v>45504</v>
      </c>
      <c r="J786">
        <f>Sheet1[[#This Row],[Close Date]]-Sheet1[[#This Row],[Open Date]]</f>
        <v>0</v>
      </c>
      <c r="K786" t="str">
        <f>IF(Sheet1[[#This Row],[Actual Days]]&gt;=1,"Not Met","Met")</f>
        <v>Met</v>
      </c>
      <c r="L786" t="str">
        <f>TEXT(Sheet1[[#This Row],[Open Date]],"mmm")</f>
        <v>Jul</v>
      </c>
    </row>
    <row r="787" spans="1:12" x14ac:dyDescent="0.3">
      <c r="A787" t="s">
        <v>1047</v>
      </c>
      <c r="B787" t="s">
        <v>42</v>
      </c>
      <c r="C787" t="s">
        <v>104</v>
      </c>
      <c r="D787" t="s">
        <v>156</v>
      </c>
      <c r="E787" t="s">
        <v>105</v>
      </c>
      <c r="F787" t="s">
        <v>40</v>
      </c>
      <c r="G787" t="s">
        <v>59</v>
      </c>
      <c r="H787" s="1">
        <v>45575</v>
      </c>
      <c r="I787" s="1">
        <v>45575</v>
      </c>
      <c r="J787">
        <f>Sheet1[[#This Row],[Close Date]]-Sheet1[[#This Row],[Open Date]]</f>
        <v>0</v>
      </c>
      <c r="K787" t="str">
        <f>IF(Sheet1[[#This Row],[Actual Days]]&gt;=1,"Not Met","Met")</f>
        <v>Met</v>
      </c>
      <c r="L787" t="str">
        <f>TEXT(Sheet1[[#This Row],[Open Date]],"mmm")</f>
        <v>Oct</v>
      </c>
    </row>
    <row r="788" spans="1:12" x14ac:dyDescent="0.3">
      <c r="A788" t="s">
        <v>1048</v>
      </c>
      <c r="B788" t="s">
        <v>42</v>
      </c>
      <c r="C788" t="s">
        <v>107</v>
      </c>
      <c r="D788" t="s">
        <v>24</v>
      </c>
      <c r="E788" t="s">
        <v>108</v>
      </c>
      <c r="F788" t="s">
        <v>26</v>
      </c>
      <c r="G788" t="s">
        <v>49</v>
      </c>
      <c r="H788" s="1">
        <v>45497</v>
      </c>
      <c r="I788" s="1">
        <v>45497</v>
      </c>
      <c r="J788">
        <f>Sheet1[[#This Row],[Close Date]]-Sheet1[[#This Row],[Open Date]]</f>
        <v>0</v>
      </c>
      <c r="K788" t="str">
        <f>IF(Sheet1[[#This Row],[Actual Days]]&gt;=1,"Not Met","Met")</f>
        <v>Met</v>
      </c>
      <c r="L788" t="str">
        <f>TEXT(Sheet1[[#This Row],[Open Date]],"mmm")</f>
        <v>Jul</v>
      </c>
    </row>
    <row r="789" spans="1:12" x14ac:dyDescent="0.3">
      <c r="A789" t="s">
        <v>1049</v>
      </c>
      <c r="B789" t="s">
        <v>22</v>
      </c>
      <c r="C789" t="s">
        <v>23</v>
      </c>
      <c r="D789" t="s">
        <v>156</v>
      </c>
      <c r="E789" t="s">
        <v>110</v>
      </c>
      <c r="F789" t="s">
        <v>17</v>
      </c>
      <c r="G789" t="s">
        <v>45</v>
      </c>
      <c r="H789" s="1">
        <v>45483</v>
      </c>
      <c r="I789" s="1">
        <v>45483</v>
      </c>
      <c r="J789">
        <f>Sheet1[[#This Row],[Close Date]]-Sheet1[[#This Row],[Open Date]]</f>
        <v>0</v>
      </c>
      <c r="K789" t="str">
        <f>IF(Sheet1[[#This Row],[Actual Days]]&gt;=1,"Not Met","Met")</f>
        <v>Met</v>
      </c>
      <c r="L789" t="str">
        <f>TEXT(Sheet1[[#This Row],[Open Date]],"mmm")</f>
        <v>Jul</v>
      </c>
    </row>
    <row r="790" spans="1:12" x14ac:dyDescent="0.3">
      <c r="A790" t="s">
        <v>1050</v>
      </c>
      <c r="B790" t="s">
        <v>13</v>
      </c>
      <c r="C790" t="s">
        <v>14</v>
      </c>
      <c r="D790" t="s">
        <v>38</v>
      </c>
      <c r="E790" t="s">
        <v>114</v>
      </c>
      <c r="F790" t="s">
        <v>17</v>
      </c>
      <c r="G790" t="s">
        <v>27</v>
      </c>
      <c r="H790" s="1">
        <v>45504</v>
      </c>
      <c r="I790" s="1">
        <v>45504</v>
      </c>
      <c r="J790">
        <f>Sheet1[[#This Row],[Close Date]]-Sheet1[[#This Row],[Open Date]]</f>
        <v>0</v>
      </c>
      <c r="K790" t="str">
        <f>IF(Sheet1[[#This Row],[Actual Days]]&gt;=1,"Not Met","Met")</f>
        <v>Met</v>
      </c>
      <c r="L790" t="str">
        <f>TEXT(Sheet1[[#This Row],[Open Date]],"mmm")</f>
        <v>Jul</v>
      </c>
    </row>
    <row r="791" spans="1:12" x14ac:dyDescent="0.3">
      <c r="A791" t="s">
        <v>1051</v>
      </c>
      <c r="B791" t="s">
        <v>30</v>
      </c>
      <c r="C791" t="s">
        <v>51</v>
      </c>
      <c r="D791" t="s">
        <v>38</v>
      </c>
      <c r="E791" t="s">
        <v>116</v>
      </c>
      <c r="F791" t="s">
        <v>40</v>
      </c>
      <c r="G791" t="s">
        <v>18</v>
      </c>
      <c r="H791" s="1">
        <v>45614</v>
      </c>
      <c r="I791" s="1">
        <v>45614</v>
      </c>
      <c r="J791">
        <f>Sheet1[[#This Row],[Close Date]]-Sheet1[[#This Row],[Open Date]]</f>
        <v>0</v>
      </c>
      <c r="K791" t="str">
        <f>IF(Sheet1[[#This Row],[Actual Days]]&gt;=1,"Not Met","Met")</f>
        <v>Met</v>
      </c>
      <c r="L791" t="str">
        <f>TEXT(Sheet1[[#This Row],[Open Date]],"mmm")</f>
        <v>Nov</v>
      </c>
    </row>
    <row r="792" spans="1:12" x14ac:dyDescent="0.3">
      <c r="A792" t="s">
        <v>1052</v>
      </c>
      <c r="B792" t="s">
        <v>13</v>
      </c>
      <c r="C792" t="s">
        <v>14</v>
      </c>
      <c r="D792" t="s">
        <v>87</v>
      </c>
      <c r="E792" t="s">
        <v>118</v>
      </c>
      <c r="F792" t="s">
        <v>26</v>
      </c>
      <c r="G792" t="s">
        <v>27</v>
      </c>
      <c r="H792" s="1">
        <v>45512</v>
      </c>
      <c r="I792" s="1">
        <v>45512</v>
      </c>
      <c r="J792">
        <f>Sheet1[[#This Row],[Close Date]]-Sheet1[[#This Row],[Open Date]]</f>
        <v>0</v>
      </c>
      <c r="K792" t="str">
        <f>IF(Sheet1[[#This Row],[Actual Days]]&gt;=1,"Not Met","Met")</f>
        <v>Met</v>
      </c>
      <c r="L792" t="str">
        <f>TEXT(Sheet1[[#This Row],[Open Date]],"mmm")</f>
        <v>Aug</v>
      </c>
    </row>
    <row r="793" spans="1:12" x14ac:dyDescent="0.3">
      <c r="A793" t="s">
        <v>1053</v>
      </c>
      <c r="B793" t="s">
        <v>13</v>
      </c>
      <c r="C793" t="s">
        <v>68</v>
      </c>
      <c r="D793" t="s">
        <v>73</v>
      </c>
      <c r="E793" t="s">
        <v>120</v>
      </c>
      <c r="F793" t="s">
        <v>26</v>
      </c>
      <c r="G793" t="s">
        <v>45</v>
      </c>
      <c r="H793" s="1">
        <v>45486</v>
      </c>
      <c r="I793" s="1">
        <v>45486</v>
      </c>
      <c r="J793">
        <f>Sheet1[[#This Row],[Close Date]]-Sheet1[[#This Row],[Open Date]]</f>
        <v>0</v>
      </c>
      <c r="K793" t="str">
        <f>IF(Sheet1[[#This Row],[Actual Days]]&gt;=1,"Not Met","Met")</f>
        <v>Met</v>
      </c>
      <c r="L793" t="str">
        <f>TEXT(Sheet1[[#This Row],[Open Date]],"mmm")</f>
        <v>Jul</v>
      </c>
    </row>
    <row r="794" spans="1:12" x14ac:dyDescent="0.3">
      <c r="A794" t="s">
        <v>1054</v>
      </c>
      <c r="B794" t="s">
        <v>36</v>
      </c>
      <c r="C794" t="s">
        <v>37</v>
      </c>
      <c r="D794" t="s">
        <v>87</v>
      </c>
      <c r="E794" t="s">
        <v>122</v>
      </c>
      <c r="F794" t="s">
        <v>26</v>
      </c>
      <c r="G794" t="s">
        <v>45</v>
      </c>
      <c r="H794" s="1">
        <v>45590</v>
      </c>
      <c r="I794" s="1">
        <v>45590</v>
      </c>
      <c r="J794">
        <f>Sheet1[[#This Row],[Close Date]]-Sheet1[[#This Row],[Open Date]]</f>
        <v>0</v>
      </c>
      <c r="K794" t="str">
        <f>IF(Sheet1[[#This Row],[Actual Days]]&gt;=1,"Not Met","Met")</f>
        <v>Met</v>
      </c>
      <c r="L794" t="str">
        <f>TEXT(Sheet1[[#This Row],[Open Date]],"mmm")</f>
        <v>Oct</v>
      </c>
    </row>
    <row r="795" spans="1:12" x14ac:dyDescent="0.3">
      <c r="A795" t="s">
        <v>1055</v>
      </c>
      <c r="B795" t="s">
        <v>13</v>
      </c>
      <c r="C795" t="s">
        <v>65</v>
      </c>
      <c r="D795" t="s">
        <v>87</v>
      </c>
      <c r="E795" t="s">
        <v>124</v>
      </c>
      <c r="F795" t="s">
        <v>40</v>
      </c>
      <c r="G795" t="s">
        <v>27</v>
      </c>
      <c r="H795" s="1">
        <v>45501</v>
      </c>
      <c r="I795" s="1">
        <v>45501</v>
      </c>
      <c r="J795">
        <f>Sheet1[[#This Row],[Close Date]]-Sheet1[[#This Row],[Open Date]]</f>
        <v>0</v>
      </c>
      <c r="K795" t="str">
        <f>IF(Sheet1[[#This Row],[Actual Days]]&gt;=1,"Not Met","Met")</f>
        <v>Met</v>
      </c>
      <c r="L795" t="str">
        <f>TEXT(Sheet1[[#This Row],[Open Date]],"mmm")</f>
        <v>Jul</v>
      </c>
    </row>
    <row r="796" spans="1:12" x14ac:dyDescent="0.3">
      <c r="A796" t="s">
        <v>1056</v>
      </c>
      <c r="B796" t="s">
        <v>36</v>
      </c>
      <c r="C796" t="s">
        <v>76</v>
      </c>
      <c r="D796" t="s">
        <v>94</v>
      </c>
      <c r="E796" t="s">
        <v>126</v>
      </c>
      <c r="F796" t="s">
        <v>17</v>
      </c>
      <c r="G796" t="s">
        <v>49</v>
      </c>
      <c r="H796" s="1">
        <v>45542</v>
      </c>
      <c r="I796" s="1">
        <v>45542</v>
      </c>
      <c r="J796">
        <f>Sheet1[[#This Row],[Close Date]]-Sheet1[[#This Row],[Open Date]]</f>
        <v>0</v>
      </c>
      <c r="K796" t="str">
        <f>IF(Sheet1[[#This Row],[Actual Days]]&gt;=1,"Not Met","Met")</f>
        <v>Met</v>
      </c>
      <c r="L796" t="str">
        <f>TEXT(Sheet1[[#This Row],[Open Date]],"mmm")</f>
        <v>Sep</v>
      </c>
    </row>
    <row r="797" spans="1:12" x14ac:dyDescent="0.3">
      <c r="A797" t="s">
        <v>1057</v>
      </c>
      <c r="B797" t="s">
        <v>13</v>
      </c>
      <c r="C797" t="s">
        <v>14</v>
      </c>
      <c r="D797" t="s">
        <v>38</v>
      </c>
      <c r="E797" t="s">
        <v>128</v>
      </c>
      <c r="F797" t="s">
        <v>40</v>
      </c>
      <c r="G797" t="s">
        <v>45</v>
      </c>
      <c r="H797" s="1">
        <v>45632</v>
      </c>
      <c r="I797" s="1">
        <v>45632</v>
      </c>
      <c r="J797">
        <f>Sheet1[[#This Row],[Close Date]]-Sheet1[[#This Row],[Open Date]]</f>
        <v>0</v>
      </c>
      <c r="K797" t="str">
        <f>IF(Sheet1[[#This Row],[Actual Days]]&gt;=1,"Not Met","Met")</f>
        <v>Met</v>
      </c>
      <c r="L797" t="str">
        <f>TEXT(Sheet1[[#This Row],[Open Date]],"mmm")</f>
        <v>Dec</v>
      </c>
    </row>
    <row r="798" spans="1:12" x14ac:dyDescent="0.3">
      <c r="A798" t="s">
        <v>1058</v>
      </c>
      <c r="B798" t="s">
        <v>22</v>
      </c>
      <c r="C798" t="s">
        <v>84</v>
      </c>
      <c r="D798" t="s">
        <v>15</v>
      </c>
      <c r="E798" t="s">
        <v>130</v>
      </c>
      <c r="F798" t="s">
        <v>17</v>
      </c>
      <c r="G798" t="s">
        <v>34</v>
      </c>
      <c r="H798" s="1">
        <v>45598</v>
      </c>
      <c r="I798" s="1">
        <v>45598</v>
      </c>
      <c r="J798">
        <f>Sheet1[[#This Row],[Close Date]]-Sheet1[[#This Row],[Open Date]]</f>
        <v>0</v>
      </c>
      <c r="K798" t="str">
        <f>IF(Sheet1[[#This Row],[Actual Days]]&gt;=1,"Not Met","Met")</f>
        <v>Met</v>
      </c>
      <c r="L798" t="str">
        <f>TEXT(Sheet1[[#This Row],[Open Date]],"mmm")</f>
        <v>Nov</v>
      </c>
    </row>
    <row r="799" spans="1:12" x14ac:dyDescent="0.3">
      <c r="A799" t="s">
        <v>1059</v>
      </c>
      <c r="B799" t="s">
        <v>22</v>
      </c>
      <c r="C799" t="s">
        <v>84</v>
      </c>
      <c r="D799" t="s">
        <v>24</v>
      </c>
      <c r="E799" t="s">
        <v>132</v>
      </c>
      <c r="F799" t="s">
        <v>40</v>
      </c>
      <c r="G799" t="s">
        <v>27</v>
      </c>
      <c r="H799" s="1">
        <v>45508</v>
      </c>
      <c r="I799" s="1">
        <v>45508</v>
      </c>
      <c r="J799">
        <f>Sheet1[[#This Row],[Close Date]]-Sheet1[[#This Row],[Open Date]]</f>
        <v>0</v>
      </c>
      <c r="K799" t="str">
        <f>IF(Sheet1[[#This Row],[Actual Days]]&gt;=1,"Not Met","Met")</f>
        <v>Met</v>
      </c>
      <c r="L799" t="str">
        <f>TEXT(Sheet1[[#This Row],[Open Date]],"mmm")</f>
        <v>Aug</v>
      </c>
    </row>
    <row r="800" spans="1:12" x14ac:dyDescent="0.3">
      <c r="A800" t="s">
        <v>1060</v>
      </c>
      <c r="B800" t="s">
        <v>13</v>
      </c>
      <c r="C800" t="s">
        <v>65</v>
      </c>
      <c r="D800" t="s">
        <v>73</v>
      </c>
      <c r="E800" t="s">
        <v>134</v>
      </c>
      <c r="F800" t="s">
        <v>17</v>
      </c>
      <c r="G800" t="s">
        <v>18</v>
      </c>
      <c r="H800" s="1">
        <v>45527</v>
      </c>
      <c r="I800" s="1">
        <v>45527</v>
      </c>
      <c r="J800">
        <f>Sheet1[[#This Row],[Close Date]]-Sheet1[[#This Row],[Open Date]]</f>
        <v>0</v>
      </c>
      <c r="K800" t="str">
        <f>IF(Sheet1[[#This Row],[Actual Days]]&gt;=1,"Not Met","Met")</f>
        <v>Met</v>
      </c>
      <c r="L800" t="str">
        <f>TEXT(Sheet1[[#This Row],[Open Date]],"mmm")</f>
        <v>Aug</v>
      </c>
    </row>
    <row r="801" spans="1:12" x14ac:dyDescent="0.3">
      <c r="A801" t="s">
        <v>1061</v>
      </c>
      <c r="B801" t="s">
        <v>42</v>
      </c>
      <c r="C801" t="s">
        <v>107</v>
      </c>
      <c r="D801" t="s">
        <v>73</v>
      </c>
      <c r="E801" t="s">
        <v>136</v>
      </c>
      <c r="F801" t="s">
        <v>40</v>
      </c>
      <c r="G801" t="s">
        <v>27</v>
      </c>
      <c r="H801" s="1">
        <v>45543</v>
      </c>
      <c r="I801" s="1">
        <v>45543</v>
      </c>
      <c r="J801">
        <f>Sheet1[[#This Row],[Close Date]]-Sheet1[[#This Row],[Open Date]]</f>
        <v>0</v>
      </c>
      <c r="K801" t="str">
        <f>IF(Sheet1[[#This Row],[Actual Days]]&gt;=1,"Not Met","Met")</f>
        <v>Met</v>
      </c>
      <c r="L801" t="str">
        <f>TEXT(Sheet1[[#This Row],[Open Date]],"mmm")</f>
        <v>Sep</v>
      </c>
    </row>
    <row r="802" spans="1:12" x14ac:dyDescent="0.3">
      <c r="A802" t="s">
        <v>1062</v>
      </c>
      <c r="B802" t="s">
        <v>42</v>
      </c>
      <c r="C802" t="s">
        <v>107</v>
      </c>
      <c r="D802" t="s">
        <v>38</v>
      </c>
      <c r="E802" t="s">
        <v>138</v>
      </c>
      <c r="F802" t="s">
        <v>26</v>
      </c>
      <c r="G802" t="s">
        <v>27</v>
      </c>
      <c r="H802" s="1">
        <v>45580</v>
      </c>
      <c r="I802" s="1">
        <v>45580</v>
      </c>
      <c r="J802">
        <f>Sheet1[[#This Row],[Close Date]]-Sheet1[[#This Row],[Open Date]]</f>
        <v>0</v>
      </c>
      <c r="K802" t="str">
        <f>IF(Sheet1[[#This Row],[Actual Days]]&gt;=1,"Not Met","Met")</f>
        <v>Met</v>
      </c>
      <c r="L802" t="str">
        <f>TEXT(Sheet1[[#This Row],[Open Date]],"mmm")</f>
        <v>Oct</v>
      </c>
    </row>
    <row r="803" spans="1:12" x14ac:dyDescent="0.3">
      <c r="A803" t="s">
        <v>1063</v>
      </c>
      <c r="B803" t="s">
        <v>42</v>
      </c>
      <c r="C803" t="s">
        <v>104</v>
      </c>
      <c r="D803" t="s">
        <v>32</v>
      </c>
      <c r="E803" t="s">
        <v>140</v>
      </c>
      <c r="F803" t="s">
        <v>40</v>
      </c>
      <c r="G803" t="s">
        <v>18</v>
      </c>
      <c r="H803" s="1">
        <v>45577</v>
      </c>
      <c r="I803" s="1">
        <v>45577</v>
      </c>
      <c r="J803">
        <f>Sheet1[[#This Row],[Close Date]]-Sheet1[[#This Row],[Open Date]]</f>
        <v>0</v>
      </c>
      <c r="K803" t="str">
        <f>IF(Sheet1[[#This Row],[Actual Days]]&gt;=1,"Not Met","Met")</f>
        <v>Met</v>
      </c>
      <c r="L803" t="str">
        <f>TEXT(Sheet1[[#This Row],[Open Date]],"mmm")</f>
        <v>Oct</v>
      </c>
    </row>
    <row r="804" spans="1:12" x14ac:dyDescent="0.3">
      <c r="A804" t="s">
        <v>1064</v>
      </c>
      <c r="B804" t="s">
        <v>22</v>
      </c>
      <c r="C804" t="s">
        <v>23</v>
      </c>
      <c r="D804" t="s">
        <v>32</v>
      </c>
      <c r="E804" t="s">
        <v>142</v>
      </c>
      <c r="F804" t="s">
        <v>26</v>
      </c>
      <c r="G804" t="s">
        <v>45</v>
      </c>
      <c r="H804" s="1">
        <v>45618</v>
      </c>
      <c r="I804" s="1">
        <v>45618</v>
      </c>
      <c r="J804">
        <f>Sheet1[[#This Row],[Close Date]]-Sheet1[[#This Row],[Open Date]]</f>
        <v>0</v>
      </c>
      <c r="K804" t="str">
        <f>IF(Sheet1[[#This Row],[Actual Days]]&gt;=1,"Not Met","Met")</f>
        <v>Met</v>
      </c>
      <c r="L804" t="str">
        <f>TEXT(Sheet1[[#This Row],[Open Date]],"mmm")</f>
        <v>Nov</v>
      </c>
    </row>
    <row r="805" spans="1:12" x14ac:dyDescent="0.3">
      <c r="A805" t="s">
        <v>1065</v>
      </c>
      <c r="B805" t="s">
        <v>30</v>
      </c>
      <c r="C805" t="s">
        <v>31</v>
      </c>
      <c r="D805" t="s">
        <v>32</v>
      </c>
      <c r="E805" t="s">
        <v>144</v>
      </c>
      <c r="F805" t="s">
        <v>40</v>
      </c>
      <c r="G805" t="s">
        <v>45</v>
      </c>
      <c r="H805" s="1">
        <v>45503</v>
      </c>
      <c r="I805" s="1">
        <v>45503</v>
      </c>
      <c r="J805">
        <f>Sheet1[[#This Row],[Close Date]]-Sheet1[[#This Row],[Open Date]]</f>
        <v>0</v>
      </c>
      <c r="K805" t="str">
        <f>IF(Sheet1[[#This Row],[Actual Days]]&gt;=1,"Not Met","Met")</f>
        <v>Met</v>
      </c>
      <c r="L805" t="str">
        <f>TEXT(Sheet1[[#This Row],[Open Date]],"mmm")</f>
        <v>Jul</v>
      </c>
    </row>
    <row r="806" spans="1:12" x14ac:dyDescent="0.3">
      <c r="A806" t="s">
        <v>1066</v>
      </c>
      <c r="B806" t="s">
        <v>30</v>
      </c>
      <c r="C806" t="s">
        <v>31</v>
      </c>
      <c r="D806" t="s">
        <v>87</v>
      </c>
      <c r="E806" t="s">
        <v>146</v>
      </c>
      <c r="F806" t="s">
        <v>40</v>
      </c>
      <c r="G806" t="s">
        <v>27</v>
      </c>
      <c r="H806" s="1">
        <v>45602</v>
      </c>
      <c r="I806" s="1">
        <v>45602</v>
      </c>
      <c r="J806">
        <f>Sheet1[[#This Row],[Close Date]]-Sheet1[[#This Row],[Open Date]]</f>
        <v>0</v>
      </c>
      <c r="K806" t="str">
        <f>IF(Sheet1[[#This Row],[Actual Days]]&gt;=1,"Not Met","Met")</f>
        <v>Met</v>
      </c>
      <c r="L806" t="str">
        <f>TEXT(Sheet1[[#This Row],[Open Date]],"mmm")</f>
        <v>Nov</v>
      </c>
    </row>
    <row r="807" spans="1:12" x14ac:dyDescent="0.3">
      <c r="A807" t="s">
        <v>1067</v>
      </c>
      <c r="B807" t="s">
        <v>13</v>
      </c>
      <c r="C807" t="s">
        <v>14</v>
      </c>
      <c r="D807" t="s">
        <v>38</v>
      </c>
      <c r="E807" t="s">
        <v>148</v>
      </c>
      <c r="F807" t="s">
        <v>17</v>
      </c>
      <c r="G807" t="s">
        <v>18</v>
      </c>
      <c r="H807" s="1">
        <v>45623</v>
      </c>
      <c r="I807" s="1">
        <v>45623</v>
      </c>
      <c r="J807">
        <f>Sheet1[[#This Row],[Close Date]]-Sheet1[[#This Row],[Open Date]]</f>
        <v>0</v>
      </c>
      <c r="K807" t="str">
        <f>IF(Sheet1[[#This Row],[Actual Days]]&gt;=1,"Not Met","Met")</f>
        <v>Met</v>
      </c>
      <c r="L807" t="str">
        <f>TEXT(Sheet1[[#This Row],[Open Date]],"mmm")</f>
        <v>Nov</v>
      </c>
    </row>
    <row r="808" spans="1:12" x14ac:dyDescent="0.3">
      <c r="A808" t="s">
        <v>1068</v>
      </c>
      <c r="B808" t="s">
        <v>13</v>
      </c>
      <c r="C808" t="s">
        <v>14</v>
      </c>
      <c r="D808" t="s">
        <v>38</v>
      </c>
      <c r="E808" t="s">
        <v>150</v>
      </c>
      <c r="F808" t="s">
        <v>40</v>
      </c>
      <c r="G808" t="s">
        <v>49</v>
      </c>
      <c r="H808" s="1">
        <v>45556</v>
      </c>
      <c r="I808" s="1">
        <v>45556</v>
      </c>
      <c r="J808">
        <f>Sheet1[[#This Row],[Close Date]]-Sheet1[[#This Row],[Open Date]]</f>
        <v>0</v>
      </c>
      <c r="K808" t="str">
        <f>IF(Sheet1[[#This Row],[Actual Days]]&gt;=1,"Not Met","Met")</f>
        <v>Met</v>
      </c>
      <c r="L808" t="str">
        <f>TEXT(Sheet1[[#This Row],[Open Date]],"mmm")</f>
        <v>Sep</v>
      </c>
    </row>
    <row r="809" spans="1:12" x14ac:dyDescent="0.3">
      <c r="A809" t="s">
        <v>1069</v>
      </c>
      <c r="B809" t="s">
        <v>42</v>
      </c>
      <c r="C809" t="s">
        <v>104</v>
      </c>
      <c r="D809" t="s">
        <v>87</v>
      </c>
      <c r="E809" t="s">
        <v>152</v>
      </c>
      <c r="F809" t="s">
        <v>40</v>
      </c>
      <c r="G809" t="s">
        <v>34</v>
      </c>
      <c r="H809" s="1">
        <v>45623</v>
      </c>
      <c r="I809" s="1">
        <v>45623</v>
      </c>
      <c r="J809">
        <f>Sheet1[[#This Row],[Close Date]]-Sheet1[[#This Row],[Open Date]]</f>
        <v>0</v>
      </c>
      <c r="K809" t="str">
        <f>IF(Sheet1[[#This Row],[Actual Days]]&gt;=1,"Not Met","Met")</f>
        <v>Met</v>
      </c>
      <c r="L809" t="str">
        <f>TEXT(Sheet1[[#This Row],[Open Date]],"mmm")</f>
        <v>Nov</v>
      </c>
    </row>
    <row r="810" spans="1:12" x14ac:dyDescent="0.3">
      <c r="A810" t="s">
        <v>1070</v>
      </c>
      <c r="B810" t="s">
        <v>42</v>
      </c>
      <c r="C810" t="s">
        <v>43</v>
      </c>
      <c r="D810" t="s">
        <v>32</v>
      </c>
      <c r="E810" t="s">
        <v>154</v>
      </c>
      <c r="F810" t="s">
        <v>40</v>
      </c>
      <c r="G810" t="s">
        <v>34</v>
      </c>
      <c r="H810" s="1">
        <v>45573</v>
      </c>
      <c r="I810" s="1">
        <v>45573</v>
      </c>
      <c r="J810">
        <f>Sheet1[[#This Row],[Close Date]]-Sheet1[[#This Row],[Open Date]]</f>
        <v>0</v>
      </c>
      <c r="K810" t="str">
        <f>IF(Sheet1[[#This Row],[Actual Days]]&gt;=1,"Not Met","Met")</f>
        <v>Met</v>
      </c>
      <c r="L810" t="str">
        <f>TEXT(Sheet1[[#This Row],[Open Date]],"mmm")</f>
        <v>Oct</v>
      </c>
    </row>
    <row r="811" spans="1:12" x14ac:dyDescent="0.3">
      <c r="A811" t="s">
        <v>1071</v>
      </c>
      <c r="B811" t="s">
        <v>42</v>
      </c>
      <c r="C811" t="s">
        <v>107</v>
      </c>
      <c r="D811" t="s">
        <v>156</v>
      </c>
      <c r="E811" t="s">
        <v>157</v>
      </c>
      <c r="F811" t="s">
        <v>40</v>
      </c>
      <c r="G811" t="s">
        <v>18</v>
      </c>
      <c r="H811" s="1">
        <v>45474</v>
      </c>
      <c r="I811" s="1">
        <v>45474</v>
      </c>
      <c r="J811">
        <f>Sheet1[[#This Row],[Close Date]]-Sheet1[[#This Row],[Open Date]]</f>
        <v>0</v>
      </c>
      <c r="K811" t="str">
        <f>IF(Sheet1[[#This Row],[Actual Days]]&gt;=1,"Not Met","Met")</f>
        <v>Met</v>
      </c>
      <c r="L811" t="str">
        <f>TEXT(Sheet1[[#This Row],[Open Date]],"mmm")</f>
        <v>Jul</v>
      </c>
    </row>
    <row r="812" spans="1:12" x14ac:dyDescent="0.3">
      <c r="A812" t="s">
        <v>1072</v>
      </c>
      <c r="B812" t="s">
        <v>13</v>
      </c>
      <c r="C812" t="s">
        <v>14</v>
      </c>
      <c r="D812" t="s">
        <v>94</v>
      </c>
      <c r="E812" t="s">
        <v>159</v>
      </c>
      <c r="F812" t="s">
        <v>17</v>
      </c>
      <c r="G812" t="s">
        <v>49</v>
      </c>
      <c r="H812" s="1">
        <v>45635</v>
      </c>
      <c r="I812" s="1">
        <v>45635</v>
      </c>
      <c r="J812">
        <f>Sheet1[[#This Row],[Close Date]]-Sheet1[[#This Row],[Open Date]]</f>
        <v>0</v>
      </c>
      <c r="K812" t="str">
        <f>IF(Sheet1[[#This Row],[Actual Days]]&gt;=1,"Not Met","Met")</f>
        <v>Met</v>
      </c>
      <c r="L812" t="str">
        <f>TEXT(Sheet1[[#This Row],[Open Date]],"mmm")</f>
        <v>Dec</v>
      </c>
    </row>
    <row r="813" spans="1:12" x14ac:dyDescent="0.3">
      <c r="A813" t="s">
        <v>1073</v>
      </c>
      <c r="B813" t="s">
        <v>30</v>
      </c>
      <c r="C813" t="s">
        <v>161</v>
      </c>
      <c r="D813" t="s">
        <v>24</v>
      </c>
      <c r="E813" t="s">
        <v>162</v>
      </c>
      <c r="F813" t="s">
        <v>17</v>
      </c>
      <c r="G813" t="s">
        <v>45</v>
      </c>
      <c r="H813" s="1">
        <v>45607</v>
      </c>
      <c r="I813" s="1">
        <v>45607</v>
      </c>
      <c r="J813">
        <f>Sheet1[[#This Row],[Close Date]]-Sheet1[[#This Row],[Open Date]]</f>
        <v>0</v>
      </c>
      <c r="K813" t="str">
        <f>IF(Sheet1[[#This Row],[Actual Days]]&gt;=1,"Not Met","Met")</f>
        <v>Met</v>
      </c>
      <c r="L813" t="str">
        <f>TEXT(Sheet1[[#This Row],[Open Date]],"mmm")</f>
        <v>Nov</v>
      </c>
    </row>
    <row r="814" spans="1:12" x14ac:dyDescent="0.3">
      <c r="A814" t="s">
        <v>1074</v>
      </c>
      <c r="B814" t="s">
        <v>13</v>
      </c>
      <c r="C814" t="s">
        <v>14</v>
      </c>
      <c r="D814" t="s">
        <v>73</v>
      </c>
      <c r="E814" t="s">
        <v>164</v>
      </c>
      <c r="F814" t="s">
        <v>17</v>
      </c>
      <c r="G814" t="s">
        <v>18</v>
      </c>
      <c r="H814" s="1">
        <v>45588</v>
      </c>
      <c r="I814" s="1">
        <v>45588</v>
      </c>
      <c r="J814">
        <f>Sheet1[[#This Row],[Close Date]]-Sheet1[[#This Row],[Open Date]]</f>
        <v>0</v>
      </c>
      <c r="K814" t="str">
        <f>IF(Sheet1[[#This Row],[Actual Days]]&gt;=1,"Not Met","Met")</f>
        <v>Met</v>
      </c>
      <c r="L814" t="str">
        <f>TEXT(Sheet1[[#This Row],[Open Date]],"mmm")</f>
        <v>Oct</v>
      </c>
    </row>
    <row r="815" spans="1:12" x14ac:dyDescent="0.3">
      <c r="A815" t="s">
        <v>1075</v>
      </c>
      <c r="B815" t="s">
        <v>22</v>
      </c>
      <c r="C815" t="s">
        <v>84</v>
      </c>
      <c r="D815" t="s">
        <v>38</v>
      </c>
      <c r="E815" t="s">
        <v>166</v>
      </c>
      <c r="F815" t="s">
        <v>40</v>
      </c>
      <c r="G815" t="s">
        <v>34</v>
      </c>
      <c r="H815" s="1">
        <v>45607</v>
      </c>
      <c r="I815" s="1">
        <v>45607</v>
      </c>
      <c r="J815">
        <f>Sheet1[[#This Row],[Close Date]]-Sheet1[[#This Row],[Open Date]]</f>
        <v>0</v>
      </c>
      <c r="K815" t="str">
        <f>IF(Sheet1[[#This Row],[Actual Days]]&gt;=1,"Not Met","Met")</f>
        <v>Met</v>
      </c>
      <c r="L815" t="str">
        <f>TEXT(Sheet1[[#This Row],[Open Date]],"mmm")</f>
        <v>Nov</v>
      </c>
    </row>
    <row r="816" spans="1:12" x14ac:dyDescent="0.3">
      <c r="A816" t="s">
        <v>1076</v>
      </c>
      <c r="B816" t="s">
        <v>36</v>
      </c>
      <c r="C816" t="s">
        <v>76</v>
      </c>
      <c r="D816" t="s">
        <v>87</v>
      </c>
      <c r="E816" t="s">
        <v>168</v>
      </c>
      <c r="F816" t="s">
        <v>17</v>
      </c>
      <c r="G816" t="s">
        <v>59</v>
      </c>
      <c r="H816" s="1">
        <v>45486</v>
      </c>
      <c r="I816" s="1">
        <v>45486</v>
      </c>
      <c r="J816">
        <f>Sheet1[[#This Row],[Close Date]]-Sheet1[[#This Row],[Open Date]]</f>
        <v>0</v>
      </c>
      <c r="K816" t="str">
        <f>IF(Sheet1[[#This Row],[Actual Days]]&gt;=1,"Not Met","Met")</f>
        <v>Met</v>
      </c>
      <c r="L816" t="str">
        <f>TEXT(Sheet1[[#This Row],[Open Date]],"mmm")</f>
        <v>Jul</v>
      </c>
    </row>
    <row r="817" spans="1:12" x14ac:dyDescent="0.3">
      <c r="A817" t="s">
        <v>1077</v>
      </c>
      <c r="B817" t="s">
        <v>36</v>
      </c>
      <c r="C817" t="s">
        <v>76</v>
      </c>
      <c r="D817" t="s">
        <v>73</v>
      </c>
      <c r="E817" t="s">
        <v>170</v>
      </c>
      <c r="F817" t="s">
        <v>26</v>
      </c>
      <c r="G817" t="s">
        <v>49</v>
      </c>
      <c r="H817" s="1">
        <v>45615</v>
      </c>
      <c r="I817" s="1">
        <v>45615</v>
      </c>
      <c r="J817">
        <f>Sheet1[[#This Row],[Close Date]]-Sheet1[[#This Row],[Open Date]]</f>
        <v>0</v>
      </c>
      <c r="K817" t="str">
        <f>IF(Sheet1[[#This Row],[Actual Days]]&gt;=1,"Not Met","Met")</f>
        <v>Met</v>
      </c>
      <c r="L817" t="str">
        <f>TEXT(Sheet1[[#This Row],[Open Date]],"mmm")</f>
        <v>Nov</v>
      </c>
    </row>
    <row r="818" spans="1:12" x14ac:dyDescent="0.3">
      <c r="A818" t="s">
        <v>1078</v>
      </c>
      <c r="B818" t="s">
        <v>13</v>
      </c>
      <c r="C818" t="s">
        <v>65</v>
      </c>
      <c r="D818" t="s">
        <v>94</v>
      </c>
      <c r="E818" t="s">
        <v>172</v>
      </c>
      <c r="F818" t="s">
        <v>17</v>
      </c>
      <c r="G818" t="s">
        <v>49</v>
      </c>
      <c r="H818" s="1">
        <v>45579</v>
      </c>
      <c r="I818" s="1">
        <v>45579</v>
      </c>
      <c r="J818">
        <f>Sheet1[[#This Row],[Close Date]]-Sheet1[[#This Row],[Open Date]]</f>
        <v>0</v>
      </c>
      <c r="K818" t="str">
        <f>IF(Sheet1[[#This Row],[Actual Days]]&gt;=1,"Not Met","Met")</f>
        <v>Met</v>
      </c>
      <c r="L818" t="str">
        <f>TEXT(Sheet1[[#This Row],[Open Date]],"mmm")</f>
        <v>Oct</v>
      </c>
    </row>
    <row r="819" spans="1:12" x14ac:dyDescent="0.3">
      <c r="A819" t="s">
        <v>1079</v>
      </c>
      <c r="B819" t="s">
        <v>36</v>
      </c>
      <c r="C819" t="s">
        <v>62</v>
      </c>
      <c r="D819" t="s">
        <v>38</v>
      </c>
      <c r="E819" t="s">
        <v>174</v>
      </c>
      <c r="F819" t="s">
        <v>26</v>
      </c>
      <c r="G819" t="s">
        <v>59</v>
      </c>
      <c r="H819" s="1">
        <v>45572</v>
      </c>
      <c r="I819" s="1">
        <v>45572</v>
      </c>
      <c r="J819">
        <f>Sheet1[[#This Row],[Close Date]]-Sheet1[[#This Row],[Open Date]]</f>
        <v>0</v>
      </c>
      <c r="K819" t="str">
        <f>IF(Sheet1[[#This Row],[Actual Days]]&gt;=1,"Not Met","Met")</f>
        <v>Met</v>
      </c>
      <c r="L819" t="str">
        <f>TEXT(Sheet1[[#This Row],[Open Date]],"mmm")</f>
        <v>Oct</v>
      </c>
    </row>
    <row r="820" spans="1:12" x14ac:dyDescent="0.3">
      <c r="A820" t="s">
        <v>1080</v>
      </c>
      <c r="B820" t="s">
        <v>22</v>
      </c>
      <c r="C820" t="s">
        <v>84</v>
      </c>
      <c r="D820" t="s">
        <v>24</v>
      </c>
      <c r="E820" t="s">
        <v>176</v>
      </c>
      <c r="F820" t="s">
        <v>40</v>
      </c>
      <c r="G820" t="s">
        <v>49</v>
      </c>
      <c r="H820" s="1">
        <v>45600</v>
      </c>
      <c r="I820" s="1">
        <v>45600</v>
      </c>
      <c r="J820">
        <f>Sheet1[[#This Row],[Close Date]]-Sheet1[[#This Row],[Open Date]]</f>
        <v>0</v>
      </c>
      <c r="K820" t="str">
        <f>IF(Sheet1[[#This Row],[Actual Days]]&gt;=1,"Not Met","Met")</f>
        <v>Met</v>
      </c>
      <c r="L820" t="str">
        <f>TEXT(Sheet1[[#This Row],[Open Date]],"mmm")</f>
        <v>Nov</v>
      </c>
    </row>
    <row r="821" spans="1:12" x14ac:dyDescent="0.3">
      <c r="A821" t="s">
        <v>1081</v>
      </c>
      <c r="B821" t="s">
        <v>13</v>
      </c>
      <c r="C821" t="s">
        <v>14</v>
      </c>
      <c r="D821" t="s">
        <v>32</v>
      </c>
      <c r="E821" t="s">
        <v>178</v>
      </c>
      <c r="F821" t="s">
        <v>17</v>
      </c>
      <c r="G821" t="s">
        <v>49</v>
      </c>
      <c r="H821" s="1">
        <v>45524</v>
      </c>
      <c r="I821" s="1">
        <v>45524</v>
      </c>
      <c r="J821">
        <f>Sheet1[[#This Row],[Close Date]]-Sheet1[[#This Row],[Open Date]]</f>
        <v>0</v>
      </c>
      <c r="K821" t="str">
        <f>IF(Sheet1[[#This Row],[Actual Days]]&gt;=1,"Not Met","Met")</f>
        <v>Met</v>
      </c>
      <c r="L821" t="str">
        <f>TEXT(Sheet1[[#This Row],[Open Date]],"mmm")</f>
        <v>Aug</v>
      </c>
    </row>
    <row r="822" spans="1:12" x14ac:dyDescent="0.3">
      <c r="A822" t="s">
        <v>1082</v>
      </c>
      <c r="B822" t="s">
        <v>30</v>
      </c>
      <c r="C822" t="s">
        <v>51</v>
      </c>
      <c r="D822" t="s">
        <v>38</v>
      </c>
      <c r="E822" t="s">
        <v>180</v>
      </c>
      <c r="F822" t="s">
        <v>40</v>
      </c>
      <c r="G822" t="s">
        <v>34</v>
      </c>
      <c r="H822" s="1">
        <v>45614</v>
      </c>
      <c r="I822" s="1">
        <v>45614</v>
      </c>
      <c r="J822">
        <f>Sheet1[[#This Row],[Close Date]]-Sheet1[[#This Row],[Open Date]]</f>
        <v>0</v>
      </c>
      <c r="K822" t="str">
        <f>IF(Sheet1[[#This Row],[Actual Days]]&gt;=1,"Not Met","Met")</f>
        <v>Met</v>
      </c>
      <c r="L822" t="str">
        <f>TEXT(Sheet1[[#This Row],[Open Date]],"mmm")</f>
        <v>Nov</v>
      </c>
    </row>
    <row r="823" spans="1:12" x14ac:dyDescent="0.3">
      <c r="A823" t="s">
        <v>1083</v>
      </c>
      <c r="B823" t="s">
        <v>13</v>
      </c>
      <c r="C823" t="s">
        <v>65</v>
      </c>
      <c r="D823" t="s">
        <v>87</v>
      </c>
      <c r="E823" t="s">
        <v>182</v>
      </c>
      <c r="F823" t="s">
        <v>26</v>
      </c>
      <c r="G823" t="s">
        <v>59</v>
      </c>
      <c r="H823" s="1">
        <v>45573</v>
      </c>
      <c r="I823" s="1">
        <v>45573</v>
      </c>
      <c r="J823">
        <f>Sheet1[[#This Row],[Close Date]]-Sheet1[[#This Row],[Open Date]]</f>
        <v>0</v>
      </c>
      <c r="K823" t="str">
        <f>IF(Sheet1[[#This Row],[Actual Days]]&gt;=1,"Not Met","Met")</f>
        <v>Met</v>
      </c>
      <c r="L823" t="str">
        <f>TEXT(Sheet1[[#This Row],[Open Date]],"mmm")</f>
        <v>Oct</v>
      </c>
    </row>
    <row r="824" spans="1:12" x14ac:dyDescent="0.3">
      <c r="A824" t="s">
        <v>1084</v>
      </c>
      <c r="B824" t="s">
        <v>13</v>
      </c>
      <c r="C824" t="s">
        <v>68</v>
      </c>
      <c r="D824" t="s">
        <v>156</v>
      </c>
      <c r="E824" t="s">
        <v>184</v>
      </c>
      <c r="F824" t="s">
        <v>26</v>
      </c>
      <c r="G824" t="s">
        <v>49</v>
      </c>
      <c r="H824" s="1">
        <v>45536</v>
      </c>
      <c r="I824" s="1">
        <v>45536</v>
      </c>
      <c r="J824">
        <f>Sheet1[[#This Row],[Close Date]]-Sheet1[[#This Row],[Open Date]]</f>
        <v>0</v>
      </c>
      <c r="K824" t="str">
        <f>IF(Sheet1[[#This Row],[Actual Days]]&gt;=1,"Not Met","Met")</f>
        <v>Met</v>
      </c>
      <c r="L824" t="str">
        <f>TEXT(Sheet1[[#This Row],[Open Date]],"mmm")</f>
        <v>Sep</v>
      </c>
    </row>
    <row r="825" spans="1:12" x14ac:dyDescent="0.3">
      <c r="A825" t="s">
        <v>1085</v>
      </c>
      <c r="B825" t="s">
        <v>30</v>
      </c>
      <c r="C825" t="s">
        <v>51</v>
      </c>
      <c r="D825" t="s">
        <v>38</v>
      </c>
      <c r="E825" t="s">
        <v>186</v>
      </c>
      <c r="F825" t="s">
        <v>40</v>
      </c>
      <c r="G825" t="s">
        <v>18</v>
      </c>
      <c r="H825" s="1">
        <v>45605</v>
      </c>
      <c r="I825" s="1">
        <v>45605</v>
      </c>
      <c r="J825">
        <f>Sheet1[[#This Row],[Close Date]]-Sheet1[[#This Row],[Open Date]]</f>
        <v>0</v>
      </c>
      <c r="K825" t="str">
        <f>IF(Sheet1[[#This Row],[Actual Days]]&gt;=1,"Not Met","Met")</f>
        <v>Met</v>
      </c>
      <c r="L825" t="str">
        <f>TEXT(Sheet1[[#This Row],[Open Date]],"mmm")</f>
        <v>Nov</v>
      </c>
    </row>
    <row r="826" spans="1:12" x14ac:dyDescent="0.3">
      <c r="A826" t="s">
        <v>1086</v>
      </c>
      <c r="B826" t="s">
        <v>30</v>
      </c>
      <c r="C826" t="s">
        <v>161</v>
      </c>
      <c r="D826" t="s">
        <v>32</v>
      </c>
      <c r="E826" t="s">
        <v>188</v>
      </c>
      <c r="F826" t="s">
        <v>40</v>
      </c>
      <c r="G826" t="s">
        <v>18</v>
      </c>
      <c r="H826" s="1">
        <v>45491</v>
      </c>
      <c r="I826" s="1">
        <v>45491</v>
      </c>
      <c r="J826">
        <f>Sheet1[[#This Row],[Close Date]]-Sheet1[[#This Row],[Open Date]]</f>
        <v>0</v>
      </c>
      <c r="K826" t="str">
        <f>IF(Sheet1[[#This Row],[Actual Days]]&gt;=1,"Not Met","Met")</f>
        <v>Met</v>
      </c>
      <c r="L826" t="str">
        <f>TEXT(Sheet1[[#This Row],[Open Date]],"mmm")</f>
        <v>Jul</v>
      </c>
    </row>
    <row r="827" spans="1:12" x14ac:dyDescent="0.3">
      <c r="A827" t="s">
        <v>1087</v>
      </c>
      <c r="B827" t="s">
        <v>13</v>
      </c>
      <c r="C827" t="s">
        <v>65</v>
      </c>
      <c r="D827" t="s">
        <v>73</v>
      </c>
      <c r="E827" t="s">
        <v>190</v>
      </c>
      <c r="F827" t="s">
        <v>17</v>
      </c>
      <c r="G827" t="s">
        <v>18</v>
      </c>
      <c r="H827" s="1">
        <v>45623</v>
      </c>
      <c r="I827" s="1">
        <v>45623</v>
      </c>
      <c r="J827">
        <f>Sheet1[[#This Row],[Close Date]]-Sheet1[[#This Row],[Open Date]]</f>
        <v>0</v>
      </c>
      <c r="K827" t="str">
        <f>IF(Sheet1[[#This Row],[Actual Days]]&gt;=1,"Not Met","Met")</f>
        <v>Met</v>
      </c>
      <c r="L827" t="str">
        <f>TEXT(Sheet1[[#This Row],[Open Date]],"mmm")</f>
        <v>Nov</v>
      </c>
    </row>
    <row r="828" spans="1:12" x14ac:dyDescent="0.3">
      <c r="A828" t="s">
        <v>1088</v>
      </c>
      <c r="B828" t="s">
        <v>30</v>
      </c>
      <c r="C828" t="s">
        <v>31</v>
      </c>
      <c r="D828" t="s">
        <v>24</v>
      </c>
      <c r="E828" t="s">
        <v>192</v>
      </c>
      <c r="F828" t="s">
        <v>26</v>
      </c>
      <c r="G828" t="s">
        <v>27</v>
      </c>
      <c r="H828" s="1">
        <v>45589</v>
      </c>
      <c r="I828" s="1">
        <v>45589</v>
      </c>
      <c r="J828">
        <f>Sheet1[[#This Row],[Close Date]]-Sheet1[[#This Row],[Open Date]]</f>
        <v>0</v>
      </c>
      <c r="K828" t="str">
        <f>IF(Sheet1[[#This Row],[Actual Days]]&gt;=1,"Not Met","Met")</f>
        <v>Met</v>
      </c>
      <c r="L828" t="str">
        <f>TEXT(Sheet1[[#This Row],[Open Date]],"mmm")</f>
        <v>Oct</v>
      </c>
    </row>
    <row r="829" spans="1:12" x14ac:dyDescent="0.3">
      <c r="A829" t="s">
        <v>1089</v>
      </c>
      <c r="B829" t="s">
        <v>13</v>
      </c>
      <c r="C829" t="s">
        <v>14</v>
      </c>
      <c r="D829" t="s">
        <v>73</v>
      </c>
      <c r="E829" t="s">
        <v>194</v>
      </c>
      <c r="F829" t="s">
        <v>26</v>
      </c>
      <c r="G829" t="s">
        <v>34</v>
      </c>
      <c r="H829" s="1">
        <v>45476</v>
      </c>
      <c r="I829" s="1">
        <v>45476</v>
      </c>
      <c r="J829">
        <f>Sheet1[[#This Row],[Close Date]]-Sheet1[[#This Row],[Open Date]]</f>
        <v>0</v>
      </c>
      <c r="K829" t="str">
        <f>IF(Sheet1[[#This Row],[Actual Days]]&gt;=1,"Not Met","Met")</f>
        <v>Met</v>
      </c>
      <c r="L829" t="str">
        <f>TEXT(Sheet1[[#This Row],[Open Date]],"mmm")</f>
        <v>Jul</v>
      </c>
    </row>
    <row r="830" spans="1:12" x14ac:dyDescent="0.3">
      <c r="A830" t="s">
        <v>1090</v>
      </c>
      <c r="B830" t="s">
        <v>30</v>
      </c>
      <c r="C830" t="s">
        <v>161</v>
      </c>
      <c r="D830" t="s">
        <v>15</v>
      </c>
      <c r="E830" t="s">
        <v>196</v>
      </c>
      <c r="F830" t="s">
        <v>17</v>
      </c>
      <c r="G830" t="s">
        <v>45</v>
      </c>
      <c r="H830" s="1">
        <v>45591</v>
      </c>
      <c r="I830" s="1">
        <v>45591</v>
      </c>
      <c r="J830">
        <f>Sheet1[[#This Row],[Close Date]]-Sheet1[[#This Row],[Open Date]]</f>
        <v>0</v>
      </c>
      <c r="K830" t="str">
        <f>IF(Sheet1[[#This Row],[Actual Days]]&gt;=1,"Not Met","Met")</f>
        <v>Met</v>
      </c>
      <c r="L830" t="str">
        <f>TEXT(Sheet1[[#This Row],[Open Date]],"mmm")</f>
        <v>Oct</v>
      </c>
    </row>
    <row r="831" spans="1:12" x14ac:dyDescent="0.3">
      <c r="A831" t="s">
        <v>1091</v>
      </c>
      <c r="B831" t="s">
        <v>22</v>
      </c>
      <c r="C831" t="s">
        <v>101</v>
      </c>
      <c r="D831" t="s">
        <v>24</v>
      </c>
      <c r="E831" t="s">
        <v>198</v>
      </c>
      <c r="F831" t="s">
        <v>40</v>
      </c>
      <c r="G831" t="s">
        <v>27</v>
      </c>
      <c r="H831" s="1">
        <v>45527</v>
      </c>
      <c r="I831" s="1">
        <v>45527</v>
      </c>
      <c r="J831">
        <f>Sheet1[[#This Row],[Close Date]]-Sheet1[[#This Row],[Open Date]]</f>
        <v>0</v>
      </c>
      <c r="K831" t="str">
        <f>IF(Sheet1[[#This Row],[Actual Days]]&gt;=1,"Not Met","Met")</f>
        <v>Met</v>
      </c>
      <c r="L831" t="str">
        <f>TEXT(Sheet1[[#This Row],[Open Date]],"mmm")</f>
        <v>Aug</v>
      </c>
    </row>
    <row r="832" spans="1:12" x14ac:dyDescent="0.3">
      <c r="A832" t="s">
        <v>1092</v>
      </c>
      <c r="B832" t="s">
        <v>30</v>
      </c>
      <c r="C832" t="s">
        <v>161</v>
      </c>
      <c r="D832" t="s">
        <v>24</v>
      </c>
      <c r="E832" t="s">
        <v>200</v>
      </c>
      <c r="F832" t="s">
        <v>17</v>
      </c>
      <c r="G832" t="s">
        <v>34</v>
      </c>
      <c r="H832" s="1">
        <v>45580</v>
      </c>
      <c r="I832" s="1">
        <v>45580</v>
      </c>
      <c r="J832">
        <f>Sheet1[[#This Row],[Close Date]]-Sheet1[[#This Row],[Open Date]]</f>
        <v>0</v>
      </c>
      <c r="K832" t="str">
        <f>IF(Sheet1[[#This Row],[Actual Days]]&gt;=1,"Not Met","Met")</f>
        <v>Met</v>
      </c>
      <c r="L832" t="str">
        <f>TEXT(Sheet1[[#This Row],[Open Date]],"mmm")</f>
        <v>Oct</v>
      </c>
    </row>
    <row r="833" spans="1:12" x14ac:dyDescent="0.3">
      <c r="A833" t="s">
        <v>1093</v>
      </c>
      <c r="B833" t="s">
        <v>22</v>
      </c>
      <c r="C833" t="s">
        <v>84</v>
      </c>
      <c r="D833" t="s">
        <v>94</v>
      </c>
      <c r="E833" t="s">
        <v>202</v>
      </c>
      <c r="F833" t="s">
        <v>17</v>
      </c>
      <c r="G833" t="s">
        <v>45</v>
      </c>
      <c r="H833" s="1">
        <v>45569</v>
      </c>
      <c r="I833" s="1">
        <v>45569</v>
      </c>
      <c r="J833">
        <f>Sheet1[[#This Row],[Close Date]]-Sheet1[[#This Row],[Open Date]]</f>
        <v>0</v>
      </c>
      <c r="K833" t="str">
        <f>IF(Sheet1[[#This Row],[Actual Days]]&gt;=1,"Not Met","Met")</f>
        <v>Met</v>
      </c>
      <c r="L833" t="str">
        <f>TEXT(Sheet1[[#This Row],[Open Date]],"mmm")</f>
        <v>Oct</v>
      </c>
    </row>
    <row r="834" spans="1:12" x14ac:dyDescent="0.3">
      <c r="A834" t="s">
        <v>1094</v>
      </c>
      <c r="B834" t="s">
        <v>22</v>
      </c>
      <c r="C834" t="s">
        <v>101</v>
      </c>
      <c r="D834" t="s">
        <v>15</v>
      </c>
      <c r="E834" t="s">
        <v>204</v>
      </c>
      <c r="F834" t="s">
        <v>26</v>
      </c>
      <c r="G834" t="s">
        <v>45</v>
      </c>
      <c r="H834" s="1">
        <v>45621</v>
      </c>
      <c r="I834" s="1">
        <v>45621</v>
      </c>
      <c r="J834">
        <f>Sheet1[[#This Row],[Close Date]]-Sheet1[[#This Row],[Open Date]]</f>
        <v>0</v>
      </c>
      <c r="K834" t="str">
        <f>IF(Sheet1[[#This Row],[Actual Days]]&gt;=1,"Not Met","Met")</f>
        <v>Met</v>
      </c>
      <c r="L834" t="str">
        <f>TEXT(Sheet1[[#This Row],[Open Date]],"mmm")</f>
        <v>Nov</v>
      </c>
    </row>
    <row r="835" spans="1:12" x14ac:dyDescent="0.3">
      <c r="A835" t="s">
        <v>1095</v>
      </c>
      <c r="B835" t="s">
        <v>22</v>
      </c>
      <c r="C835" t="s">
        <v>101</v>
      </c>
      <c r="D835" t="s">
        <v>24</v>
      </c>
      <c r="E835" t="s">
        <v>206</v>
      </c>
      <c r="F835" t="s">
        <v>26</v>
      </c>
      <c r="G835" t="s">
        <v>45</v>
      </c>
      <c r="H835" s="1">
        <v>45571</v>
      </c>
      <c r="I835" s="1">
        <v>45571</v>
      </c>
      <c r="J835">
        <f>Sheet1[[#This Row],[Close Date]]-Sheet1[[#This Row],[Open Date]]</f>
        <v>0</v>
      </c>
      <c r="K835" t="str">
        <f>IF(Sheet1[[#This Row],[Actual Days]]&gt;=1,"Not Met","Met")</f>
        <v>Met</v>
      </c>
      <c r="L835" t="str">
        <f>TEXT(Sheet1[[#This Row],[Open Date]],"mmm")</f>
        <v>Oct</v>
      </c>
    </row>
    <row r="836" spans="1:12" x14ac:dyDescent="0.3">
      <c r="A836" t="s">
        <v>1096</v>
      </c>
      <c r="B836" t="s">
        <v>13</v>
      </c>
      <c r="C836" t="s">
        <v>65</v>
      </c>
      <c r="D836" t="s">
        <v>94</v>
      </c>
      <c r="E836" t="s">
        <v>208</v>
      </c>
      <c r="F836" t="s">
        <v>26</v>
      </c>
      <c r="G836" t="s">
        <v>27</v>
      </c>
      <c r="H836" s="1">
        <v>45555</v>
      </c>
      <c r="I836" s="1">
        <v>45555</v>
      </c>
      <c r="J836">
        <f>Sheet1[[#This Row],[Close Date]]-Sheet1[[#This Row],[Open Date]]</f>
        <v>0</v>
      </c>
      <c r="K836" t="str">
        <f>IF(Sheet1[[#This Row],[Actual Days]]&gt;=1,"Not Met","Met")</f>
        <v>Met</v>
      </c>
      <c r="L836" t="str">
        <f>TEXT(Sheet1[[#This Row],[Open Date]],"mmm")</f>
        <v>Sep</v>
      </c>
    </row>
    <row r="837" spans="1:12" x14ac:dyDescent="0.3">
      <c r="A837" t="s">
        <v>1097</v>
      </c>
      <c r="B837" t="s">
        <v>22</v>
      </c>
      <c r="C837" t="s">
        <v>84</v>
      </c>
      <c r="D837" t="s">
        <v>24</v>
      </c>
      <c r="E837" t="s">
        <v>210</v>
      </c>
      <c r="F837" t="s">
        <v>26</v>
      </c>
      <c r="G837" t="s">
        <v>34</v>
      </c>
      <c r="H837" s="1">
        <v>45544</v>
      </c>
      <c r="I837" s="1">
        <v>45544</v>
      </c>
      <c r="J837">
        <f>Sheet1[[#This Row],[Close Date]]-Sheet1[[#This Row],[Open Date]]</f>
        <v>0</v>
      </c>
      <c r="K837" t="str">
        <f>IF(Sheet1[[#This Row],[Actual Days]]&gt;=1,"Not Met","Met")</f>
        <v>Met</v>
      </c>
      <c r="L837" t="str">
        <f>TEXT(Sheet1[[#This Row],[Open Date]],"mmm")</f>
        <v>Sep</v>
      </c>
    </row>
    <row r="838" spans="1:12" x14ac:dyDescent="0.3">
      <c r="A838" t="s">
        <v>1098</v>
      </c>
      <c r="B838" t="s">
        <v>13</v>
      </c>
      <c r="C838" t="s">
        <v>68</v>
      </c>
      <c r="D838" t="s">
        <v>32</v>
      </c>
      <c r="E838" t="s">
        <v>212</v>
      </c>
      <c r="F838" t="s">
        <v>17</v>
      </c>
      <c r="G838" t="s">
        <v>45</v>
      </c>
      <c r="H838" s="1">
        <v>45618</v>
      </c>
      <c r="I838" s="1">
        <v>45618</v>
      </c>
      <c r="J838">
        <f>Sheet1[[#This Row],[Close Date]]-Sheet1[[#This Row],[Open Date]]</f>
        <v>0</v>
      </c>
      <c r="K838" t="str">
        <f>IF(Sheet1[[#This Row],[Actual Days]]&gt;=1,"Not Met","Met")</f>
        <v>Met</v>
      </c>
      <c r="L838" t="str">
        <f>TEXT(Sheet1[[#This Row],[Open Date]],"mmm")</f>
        <v>Nov</v>
      </c>
    </row>
    <row r="839" spans="1:12" x14ac:dyDescent="0.3">
      <c r="A839" t="s">
        <v>1099</v>
      </c>
      <c r="B839" t="s">
        <v>30</v>
      </c>
      <c r="C839" t="s">
        <v>31</v>
      </c>
      <c r="D839" t="s">
        <v>94</v>
      </c>
      <c r="E839" t="s">
        <v>214</v>
      </c>
      <c r="F839" t="s">
        <v>17</v>
      </c>
      <c r="G839" t="s">
        <v>34</v>
      </c>
      <c r="H839" s="1">
        <v>45600</v>
      </c>
      <c r="I839" s="1">
        <v>45600</v>
      </c>
      <c r="J839">
        <f>Sheet1[[#This Row],[Close Date]]-Sheet1[[#This Row],[Open Date]]</f>
        <v>0</v>
      </c>
      <c r="K839" t="str">
        <f>IF(Sheet1[[#This Row],[Actual Days]]&gt;=1,"Not Met","Met")</f>
        <v>Met</v>
      </c>
      <c r="L839" t="str">
        <f>TEXT(Sheet1[[#This Row],[Open Date]],"mmm")</f>
        <v>Nov</v>
      </c>
    </row>
    <row r="840" spans="1:12" x14ac:dyDescent="0.3">
      <c r="A840" t="s">
        <v>1100</v>
      </c>
      <c r="B840" t="s">
        <v>42</v>
      </c>
      <c r="C840" t="s">
        <v>104</v>
      </c>
      <c r="D840" t="s">
        <v>94</v>
      </c>
      <c r="E840" t="s">
        <v>216</v>
      </c>
      <c r="F840" t="s">
        <v>40</v>
      </c>
      <c r="G840" t="s">
        <v>49</v>
      </c>
      <c r="H840" s="1">
        <v>45518</v>
      </c>
      <c r="I840" s="1">
        <v>45518</v>
      </c>
      <c r="J840">
        <f>Sheet1[[#This Row],[Close Date]]-Sheet1[[#This Row],[Open Date]]</f>
        <v>0</v>
      </c>
      <c r="K840" t="str">
        <f>IF(Sheet1[[#This Row],[Actual Days]]&gt;=1,"Not Met","Met")</f>
        <v>Met</v>
      </c>
      <c r="L840" t="str">
        <f>TEXT(Sheet1[[#This Row],[Open Date]],"mmm")</f>
        <v>Aug</v>
      </c>
    </row>
    <row r="841" spans="1:12" x14ac:dyDescent="0.3">
      <c r="A841" t="s">
        <v>1101</v>
      </c>
      <c r="B841" t="s">
        <v>30</v>
      </c>
      <c r="C841" t="s">
        <v>161</v>
      </c>
      <c r="D841" t="s">
        <v>73</v>
      </c>
      <c r="E841" t="s">
        <v>218</v>
      </c>
      <c r="F841" t="s">
        <v>17</v>
      </c>
      <c r="G841" t="s">
        <v>45</v>
      </c>
      <c r="H841" s="1">
        <v>45540</v>
      </c>
      <c r="I841" s="1">
        <v>45540</v>
      </c>
      <c r="J841">
        <f>Sheet1[[#This Row],[Close Date]]-Sheet1[[#This Row],[Open Date]]</f>
        <v>0</v>
      </c>
      <c r="K841" t="str">
        <f>IF(Sheet1[[#This Row],[Actual Days]]&gt;=1,"Not Met","Met")</f>
        <v>Met</v>
      </c>
      <c r="L841" t="str">
        <f>TEXT(Sheet1[[#This Row],[Open Date]],"mmm")</f>
        <v>Sep</v>
      </c>
    </row>
    <row r="842" spans="1:12" x14ac:dyDescent="0.3">
      <c r="A842" t="s">
        <v>1102</v>
      </c>
      <c r="B842" t="s">
        <v>13</v>
      </c>
      <c r="C842" t="s">
        <v>14</v>
      </c>
      <c r="D842" t="s">
        <v>38</v>
      </c>
      <c r="E842" t="s">
        <v>220</v>
      </c>
      <c r="F842" t="s">
        <v>17</v>
      </c>
      <c r="G842" t="s">
        <v>34</v>
      </c>
      <c r="H842" s="1">
        <v>45592</v>
      </c>
      <c r="I842" s="1">
        <v>45592</v>
      </c>
      <c r="J842">
        <f>Sheet1[[#This Row],[Close Date]]-Sheet1[[#This Row],[Open Date]]</f>
        <v>0</v>
      </c>
      <c r="K842" t="str">
        <f>IF(Sheet1[[#This Row],[Actual Days]]&gt;=1,"Not Met","Met")</f>
        <v>Met</v>
      </c>
      <c r="L842" t="str">
        <f>TEXT(Sheet1[[#This Row],[Open Date]],"mmm")</f>
        <v>Oct</v>
      </c>
    </row>
    <row r="843" spans="1:12" x14ac:dyDescent="0.3">
      <c r="A843" t="s">
        <v>1103</v>
      </c>
      <c r="B843" t="s">
        <v>36</v>
      </c>
      <c r="C843" t="s">
        <v>37</v>
      </c>
      <c r="D843" t="s">
        <v>156</v>
      </c>
      <c r="E843" t="s">
        <v>222</v>
      </c>
      <c r="F843" t="s">
        <v>40</v>
      </c>
      <c r="G843" t="s">
        <v>18</v>
      </c>
      <c r="H843" s="1">
        <v>45579</v>
      </c>
      <c r="I843" s="1">
        <v>45579</v>
      </c>
      <c r="J843">
        <f>Sheet1[[#This Row],[Close Date]]-Sheet1[[#This Row],[Open Date]]</f>
        <v>0</v>
      </c>
      <c r="K843" t="str">
        <f>IF(Sheet1[[#This Row],[Actual Days]]&gt;=1,"Not Met","Met")</f>
        <v>Met</v>
      </c>
      <c r="L843" t="str">
        <f>TEXT(Sheet1[[#This Row],[Open Date]],"mmm")</f>
        <v>Oct</v>
      </c>
    </row>
    <row r="844" spans="1:12" x14ac:dyDescent="0.3">
      <c r="A844" t="s">
        <v>1104</v>
      </c>
      <c r="B844" t="s">
        <v>36</v>
      </c>
      <c r="C844" t="s">
        <v>37</v>
      </c>
      <c r="D844" t="s">
        <v>87</v>
      </c>
      <c r="E844" t="s">
        <v>224</v>
      </c>
      <c r="F844" t="s">
        <v>17</v>
      </c>
      <c r="G844" t="s">
        <v>49</v>
      </c>
      <c r="H844" s="1">
        <v>45521</v>
      </c>
      <c r="I844" s="1">
        <v>45521</v>
      </c>
      <c r="J844">
        <f>Sheet1[[#This Row],[Close Date]]-Sheet1[[#This Row],[Open Date]]</f>
        <v>0</v>
      </c>
      <c r="K844" t="str">
        <f>IF(Sheet1[[#This Row],[Actual Days]]&gt;=1,"Not Met","Met")</f>
        <v>Met</v>
      </c>
      <c r="L844" t="str">
        <f>TEXT(Sheet1[[#This Row],[Open Date]],"mmm")</f>
        <v>Aug</v>
      </c>
    </row>
    <row r="845" spans="1:12" x14ac:dyDescent="0.3">
      <c r="A845" t="s">
        <v>1105</v>
      </c>
      <c r="B845" t="s">
        <v>30</v>
      </c>
      <c r="C845" t="s">
        <v>51</v>
      </c>
      <c r="D845" t="s">
        <v>73</v>
      </c>
      <c r="E845" t="s">
        <v>226</v>
      </c>
      <c r="F845" t="s">
        <v>17</v>
      </c>
      <c r="G845" t="s">
        <v>34</v>
      </c>
      <c r="H845" s="1">
        <v>45561</v>
      </c>
      <c r="I845" s="1">
        <v>45561</v>
      </c>
      <c r="J845">
        <f>Sheet1[[#This Row],[Close Date]]-Sheet1[[#This Row],[Open Date]]</f>
        <v>0</v>
      </c>
      <c r="K845" t="str">
        <f>IF(Sheet1[[#This Row],[Actual Days]]&gt;=1,"Not Met","Met")</f>
        <v>Met</v>
      </c>
      <c r="L845" t="str">
        <f>TEXT(Sheet1[[#This Row],[Open Date]],"mmm")</f>
        <v>Sep</v>
      </c>
    </row>
    <row r="846" spans="1:12" x14ac:dyDescent="0.3">
      <c r="A846" t="s">
        <v>1106</v>
      </c>
      <c r="B846" t="s">
        <v>13</v>
      </c>
      <c r="C846" t="s">
        <v>68</v>
      </c>
      <c r="D846" t="s">
        <v>38</v>
      </c>
      <c r="E846" t="s">
        <v>228</v>
      </c>
      <c r="F846" t="s">
        <v>26</v>
      </c>
      <c r="G846" t="s">
        <v>18</v>
      </c>
      <c r="H846" s="1">
        <v>45622</v>
      </c>
      <c r="I846" s="1">
        <v>45622</v>
      </c>
      <c r="J846">
        <f>Sheet1[[#This Row],[Close Date]]-Sheet1[[#This Row],[Open Date]]</f>
        <v>0</v>
      </c>
      <c r="K846" t="str">
        <f>IF(Sheet1[[#This Row],[Actual Days]]&gt;=1,"Not Met","Met")</f>
        <v>Met</v>
      </c>
      <c r="L846" t="str">
        <f>TEXT(Sheet1[[#This Row],[Open Date]],"mmm")</f>
        <v>Nov</v>
      </c>
    </row>
    <row r="847" spans="1:12" x14ac:dyDescent="0.3">
      <c r="A847" t="s">
        <v>1107</v>
      </c>
      <c r="B847" t="s">
        <v>30</v>
      </c>
      <c r="C847" t="s">
        <v>161</v>
      </c>
      <c r="D847" t="s">
        <v>38</v>
      </c>
      <c r="E847" t="s">
        <v>230</v>
      </c>
      <c r="F847" t="s">
        <v>26</v>
      </c>
      <c r="G847" t="s">
        <v>27</v>
      </c>
      <c r="H847" s="1">
        <v>45592</v>
      </c>
      <c r="I847" s="1">
        <v>45592</v>
      </c>
      <c r="J847">
        <f>Sheet1[[#This Row],[Close Date]]-Sheet1[[#This Row],[Open Date]]</f>
        <v>0</v>
      </c>
      <c r="K847" t="str">
        <f>IF(Sheet1[[#This Row],[Actual Days]]&gt;=1,"Not Met","Met")</f>
        <v>Met</v>
      </c>
      <c r="L847" t="str">
        <f>TEXT(Sheet1[[#This Row],[Open Date]],"mmm")</f>
        <v>Oct</v>
      </c>
    </row>
    <row r="848" spans="1:12" x14ac:dyDescent="0.3">
      <c r="A848" t="s">
        <v>1108</v>
      </c>
      <c r="B848" t="s">
        <v>36</v>
      </c>
      <c r="C848" t="s">
        <v>76</v>
      </c>
      <c r="D848" t="s">
        <v>156</v>
      </c>
      <c r="E848" t="s">
        <v>232</v>
      </c>
      <c r="F848" t="s">
        <v>40</v>
      </c>
      <c r="G848" t="s">
        <v>49</v>
      </c>
      <c r="H848" s="1">
        <v>45605</v>
      </c>
      <c r="I848" s="1">
        <v>45605</v>
      </c>
      <c r="J848">
        <f>Sheet1[[#This Row],[Close Date]]-Sheet1[[#This Row],[Open Date]]</f>
        <v>0</v>
      </c>
      <c r="K848" t="str">
        <f>IF(Sheet1[[#This Row],[Actual Days]]&gt;=1,"Not Met","Met")</f>
        <v>Met</v>
      </c>
      <c r="L848" t="str">
        <f>TEXT(Sheet1[[#This Row],[Open Date]],"mmm")</f>
        <v>Nov</v>
      </c>
    </row>
    <row r="849" spans="1:12" x14ac:dyDescent="0.3">
      <c r="A849" t="s">
        <v>1109</v>
      </c>
      <c r="B849" t="s">
        <v>13</v>
      </c>
      <c r="C849" t="s">
        <v>14</v>
      </c>
      <c r="D849" t="s">
        <v>94</v>
      </c>
      <c r="E849" t="s">
        <v>234</v>
      </c>
      <c r="F849" t="s">
        <v>26</v>
      </c>
      <c r="G849" t="s">
        <v>45</v>
      </c>
      <c r="H849" s="1">
        <v>45542</v>
      </c>
      <c r="I849" s="1">
        <v>45542</v>
      </c>
      <c r="J849">
        <f>Sheet1[[#This Row],[Close Date]]-Sheet1[[#This Row],[Open Date]]</f>
        <v>0</v>
      </c>
      <c r="K849" t="str">
        <f>IF(Sheet1[[#This Row],[Actual Days]]&gt;=1,"Not Met","Met")</f>
        <v>Met</v>
      </c>
      <c r="L849" t="str">
        <f>TEXT(Sheet1[[#This Row],[Open Date]],"mmm")</f>
        <v>Sep</v>
      </c>
    </row>
    <row r="850" spans="1:12" x14ac:dyDescent="0.3">
      <c r="A850" t="s">
        <v>1110</v>
      </c>
      <c r="B850" t="s">
        <v>13</v>
      </c>
      <c r="C850" t="s">
        <v>68</v>
      </c>
      <c r="D850" t="s">
        <v>94</v>
      </c>
      <c r="E850" t="s">
        <v>236</v>
      </c>
      <c r="F850" t="s">
        <v>17</v>
      </c>
      <c r="G850" t="s">
        <v>45</v>
      </c>
      <c r="H850" s="1">
        <v>45584</v>
      </c>
      <c r="I850" s="1">
        <v>45584</v>
      </c>
      <c r="J850">
        <f>Sheet1[[#This Row],[Close Date]]-Sheet1[[#This Row],[Open Date]]</f>
        <v>0</v>
      </c>
      <c r="K850" t="str">
        <f>IF(Sheet1[[#This Row],[Actual Days]]&gt;=1,"Not Met","Met")</f>
        <v>Met</v>
      </c>
      <c r="L850" t="str">
        <f>TEXT(Sheet1[[#This Row],[Open Date]],"mmm")</f>
        <v>Oct</v>
      </c>
    </row>
    <row r="851" spans="1:12" x14ac:dyDescent="0.3">
      <c r="A851" t="s">
        <v>1111</v>
      </c>
      <c r="B851" t="s">
        <v>42</v>
      </c>
      <c r="C851" t="s">
        <v>43</v>
      </c>
      <c r="D851" t="s">
        <v>156</v>
      </c>
      <c r="E851" t="s">
        <v>238</v>
      </c>
      <c r="F851" t="s">
        <v>26</v>
      </c>
      <c r="G851" t="s">
        <v>59</v>
      </c>
      <c r="H851" s="1">
        <v>45502</v>
      </c>
      <c r="I851" s="1">
        <v>45502</v>
      </c>
      <c r="J851">
        <f>Sheet1[[#This Row],[Close Date]]-Sheet1[[#This Row],[Open Date]]</f>
        <v>0</v>
      </c>
      <c r="K851" t="str">
        <f>IF(Sheet1[[#This Row],[Actual Days]]&gt;=1,"Not Met","Met")</f>
        <v>Met</v>
      </c>
      <c r="L851" t="str">
        <f>TEXT(Sheet1[[#This Row],[Open Date]],"mmm")</f>
        <v>Jul</v>
      </c>
    </row>
    <row r="852" spans="1:12" x14ac:dyDescent="0.3">
      <c r="A852" t="s">
        <v>1112</v>
      </c>
      <c r="B852" t="s">
        <v>13</v>
      </c>
      <c r="C852" t="s">
        <v>14</v>
      </c>
      <c r="D852" t="s">
        <v>73</v>
      </c>
      <c r="E852" t="s">
        <v>240</v>
      </c>
      <c r="F852" t="s">
        <v>26</v>
      </c>
      <c r="G852" t="s">
        <v>49</v>
      </c>
      <c r="H852" s="1">
        <v>45550</v>
      </c>
      <c r="I852" s="1">
        <v>45550</v>
      </c>
      <c r="J852">
        <f>Sheet1[[#This Row],[Close Date]]-Sheet1[[#This Row],[Open Date]]</f>
        <v>0</v>
      </c>
      <c r="K852" t="str">
        <f>IF(Sheet1[[#This Row],[Actual Days]]&gt;=1,"Not Met","Met")</f>
        <v>Met</v>
      </c>
      <c r="L852" t="str">
        <f>TEXT(Sheet1[[#This Row],[Open Date]],"mmm")</f>
        <v>Sep</v>
      </c>
    </row>
    <row r="853" spans="1:12" x14ac:dyDescent="0.3">
      <c r="A853" t="s">
        <v>1113</v>
      </c>
      <c r="B853" t="s">
        <v>30</v>
      </c>
      <c r="C853" t="s">
        <v>161</v>
      </c>
      <c r="D853" t="s">
        <v>38</v>
      </c>
      <c r="E853" t="s">
        <v>242</v>
      </c>
      <c r="F853" t="s">
        <v>40</v>
      </c>
      <c r="G853" t="s">
        <v>59</v>
      </c>
      <c r="H853" s="1">
        <v>45556</v>
      </c>
      <c r="I853" s="1">
        <v>45556</v>
      </c>
      <c r="J853">
        <f>Sheet1[[#This Row],[Close Date]]-Sheet1[[#This Row],[Open Date]]</f>
        <v>0</v>
      </c>
      <c r="K853" t="str">
        <f>IF(Sheet1[[#This Row],[Actual Days]]&gt;=1,"Not Met","Met")</f>
        <v>Met</v>
      </c>
      <c r="L853" t="str">
        <f>TEXT(Sheet1[[#This Row],[Open Date]],"mmm")</f>
        <v>Sep</v>
      </c>
    </row>
    <row r="854" spans="1:12" x14ac:dyDescent="0.3">
      <c r="A854" t="s">
        <v>1114</v>
      </c>
      <c r="B854" t="s">
        <v>22</v>
      </c>
      <c r="C854" t="s">
        <v>23</v>
      </c>
      <c r="D854" t="s">
        <v>94</v>
      </c>
      <c r="E854" t="s">
        <v>244</v>
      </c>
      <c r="F854" t="s">
        <v>40</v>
      </c>
      <c r="G854" t="s">
        <v>27</v>
      </c>
      <c r="H854" s="1">
        <v>45598</v>
      </c>
      <c r="I854" s="1">
        <v>45598</v>
      </c>
      <c r="J854">
        <f>Sheet1[[#This Row],[Close Date]]-Sheet1[[#This Row],[Open Date]]</f>
        <v>0</v>
      </c>
      <c r="K854" t="str">
        <f>IF(Sheet1[[#This Row],[Actual Days]]&gt;=1,"Not Met","Met")</f>
        <v>Met</v>
      </c>
      <c r="L854" t="str">
        <f>TEXT(Sheet1[[#This Row],[Open Date]],"mmm")</f>
        <v>Nov</v>
      </c>
    </row>
    <row r="855" spans="1:12" x14ac:dyDescent="0.3">
      <c r="A855" t="s">
        <v>1115</v>
      </c>
      <c r="B855" t="s">
        <v>36</v>
      </c>
      <c r="C855" t="s">
        <v>62</v>
      </c>
      <c r="D855" t="s">
        <v>87</v>
      </c>
      <c r="E855" t="s">
        <v>246</v>
      </c>
      <c r="F855" t="s">
        <v>26</v>
      </c>
      <c r="G855" t="s">
        <v>34</v>
      </c>
      <c r="H855" s="1">
        <v>45483</v>
      </c>
      <c r="I855" s="1">
        <v>45483</v>
      </c>
      <c r="J855">
        <f>Sheet1[[#This Row],[Close Date]]-Sheet1[[#This Row],[Open Date]]</f>
        <v>0</v>
      </c>
      <c r="K855" t="str">
        <f>IF(Sheet1[[#This Row],[Actual Days]]&gt;=1,"Not Met","Met")</f>
        <v>Met</v>
      </c>
      <c r="L855" t="str">
        <f>TEXT(Sheet1[[#This Row],[Open Date]],"mmm")</f>
        <v>Jul</v>
      </c>
    </row>
    <row r="856" spans="1:12" x14ac:dyDescent="0.3">
      <c r="A856" t="s">
        <v>1116</v>
      </c>
      <c r="B856" t="s">
        <v>13</v>
      </c>
      <c r="C856" t="s">
        <v>14</v>
      </c>
      <c r="D856" t="s">
        <v>24</v>
      </c>
      <c r="E856" t="s">
        <v>248</v>
      </c>
      <c r="F856" t="s">
        <v>17</v>
      </c>
      <c r="G856" t="s">
        <v>18</v>
      </c>
      <c r="H856" s="1">
        <v>45582</v>
      </c>
      <c r="I856" s="1">
        <v>45582</v>
      </c>
      <c r="J856">
        <f>Sheet1[[#This Row],[Close Date]]-Sheet1[[#This Row],[Open Date]]</f>
        <v>0</v>
      </c>
      <c r="K856" t="str">
        <f>IF(Sheet1[[#This Row],[Actual Days]]&gt;=1,"Not Met","Met")</f>
        <v>Met</v>
      </c>
      <c r="L856" t="str">
        <f>TEXT(Sheet1[[#This Row],[Open Date]],"mmm")</f>
        <v>Oct</v>
      </c>
    </row>
    <row r="857" spans="1:12" x14ac:dyDescent="0.3">
      <c r="A857" t="s">
        <v>1117</v>
      </c>
      <c r="B857" t="s">
        <v>22</v>
      </c>
      <c r="C857" t="s">
        <v>23</v>
      </c>
      <c r="D857" t="s">
        <v>32</v>
      </c>
      <c r="E857" t="s">
        <v>250</v>
      </c>
      <c r="F857" t="s">
        <v>26</v>
      </c>
      <c r="G857" t="s">
        <v>49</v>
      </c>
      <c r="H857" s="1">
        <v>45557</v>
      </c>
      <c r="I857" s="1">
        <v>45557</v>
      </c>
      <c r="J857">
        <f>Sheet1[[#This Row],[Close Date]]-Sheet1[[#This Row],[Open Date]]</f>
        <v>0</v>
      </c>
      <c r="K857" t="str">
        <f>IF(Sheet1[[#This Row],[Actual Days]]&gt;=1,"Not Met","Met")</f>
        <v>Met</v>
      </c>
      <c r="L857" t="str">
        <f>TEXT(Sheet1[[#This Row],[Open Date]],"mmm")</f>
        <v>Sep</v>
      </c>
    </row>
    <row r="858" spans="1:12" x14ac:dyDescent="0.3">
      <c r="A858" t="s">
        <v>1118</v>
      </c>
      <c r="B858" t="s">
        <v>30</v>
      </c>
      <c r="C858" t="s">
        <v>31</v>
      </c>
      <c r="D858" t="s">
        <v>94</v>
      </c>
      <c r="E858" t="s">
        <v>252</v>
      </c>
      <c r="F858" t="s">
        <v>40</v>
      </c>
      <c r="G858" t="s">
        <v>18</v>
      </c>
      <c r="H858" s="1">
        <v>45540</v>
      </c>
      <c r="I858" s="1">
        <v>45540</v>
      </c>
      <c r="J858">
        <f>Sheet1[[#This Row],[Close Date]]-Sheet1[[#This Row],[Open Date]]</f>
        <v>0</v>
      </c>
      <c r="K858" t="str">
        <f>IF(Sheet1[[#This Row],[Actual Days]]&gt;=1,"Not Met","Met")</f>
        <v>Met</v>
      </c>
      <c r="L858" t="str">
        <f>TEXT(Sheet1[[#This Row],[Open Date]],"mmm")</f>
        <v>Sep</v>
      </c>
    </row>
    <row r="859" spans="1:12" x14ac:dyDescent="0.3">
      <c r="A859" t="s">
        <v>1119</v>
      </c>
      <c r="B859" t="s">
        <v>22</v>
      </c>
      <c r="C859" t="s">
        <v>101</v>
      </c>
      <c r="D859" t="s">
        <v>73</v>
      </c>
      <c r="E859" t="s">
        <v>254</v>
      </c>
      <c r="F859" t="s">
        <v>26</v>
      </c>
      <c r="G859" t="s">
        <v>34</v>
      </c>
      <c r="H859" s="1">
        <v>45503</v>
      </c>
      <c r="I859" s="1">
        <v>45503</v>
      </c>
      <c r="J859">
        <f>Sheet1[[#This Row],[Close Date]]-Sheet1[[#This Row],[Open Date]]</f>
        <v>0</v>
      </c>
      <c r="K859" t="str">
        <f>IF(Sheet1[[#This Row],[Actual Days]]&gt;=1,"Not Met","Met")</f>
        <v>Met</v>
      </c>
      <c r="L859" t="str">
        <f>TEXT(Sheet1[[#This Row],[Open Date]],"mmm")</f>
        <v>Jul</v>
      </c>
    </row>
    <row r="860" spans="1:12" x14ac:dyDescent="0.3">
      <c r="A860" t="s">
        <v>1120</v>
      </c>
      <c r="B860" t="s">
        <v>42</v>
      </c>
      <c r="C860" t="s">
        <v>104</v>
      </c>
      <c r="D860" t="s">
        <v>38</v>
      </c>
      <c r="E860" t="s">
        <v>256</v>
      </c>
      <c r="F860" t="s">
        <v>40</v>
      </c>
      <c r="G860" t="s">
        <v>59</v>
      </c>
      <c r="H860" s="1">
        <v>45485</v>
      </c>
      <c r="I860" s="1">
        <v>45485</v>
      </c>
      <c r="J860">
        <f>Sheet1[[#This Row],[Close Date]]-Sheet1[[#This Row],[Open Date]]</f>
        <v>0</v>
      </c>
      <c r="K860" t="str">
        <f>IF(Sheet1[[#This Row],[Actual Days]]&gt;=1,"Not Met","Met")</f>
        <v>Met</v>
      </c>
      <c r="L860" t="str">
        <f>TEXT(Sheet1[[#This Row],[Open Date]],"mmm")</f>
        <v>Jul</v>
      </c>
    </row>
    <row r="861" spans="1:12" x14ac:dyDescent="0.3">
      <c r="A861" t="s">
        <v>1121</v>
      </c>
      <c r="B861" t="s">
        <v>42</v>
      </c>
      <c r="C861" t="s">
        <v>107</v>
      </c>
      <c r="D861" t="s">
        <v>94</v>
      </c>
      <c r="E861" t="s">
        <v>258</v>
      </c>
      <c r="F861" t="s">
        <v>26</v>
      </c>
      <c r="G861" t="s">
        <v>49</v>
      </c>
      <c r="H861" s="1">
        <v>45617</v>
      </c>
      <c r="I861" s="1">
        <v>45617</v>
      </c>
      <c r="J861">
        <f>Sheet1[[#This Row],[Close Date]]-Sheet1[[#This Row],[Open Date]]</f>
        <v>0</v>
      </c>
      <c r="K861" t="str">
        <f>IF(Sheet1[[#This Row],[Actual Days]]&gt;=1,"Not Met","Met")</f>
        <v>Met</v>
      </c>
      <c r="L861" t="str">
        <f>TEXT(Sheet1[[#This Row],[Open Date]],"mmm")</f>
        <v>Nov</v>
      </c>
    </row>
    <row r="862" spans="1:12" x14ac:dyDescent="0.3">
      <c r="A862" t="s">
        <v>1122</v>
      </c>
      <c r="B862" t="s">
        <v>30</v>
      </c>
      <c r="C862" t="s">
        <v>51</v>
      </c>
      <c r="D862" t="s">
        <v>94</v>
      </c>
      <c r="E862" t="s">
        <v>260</v>
      </c>
      <c r="F862" t="s">
        <v>40</v>
      </c>
      <c r="G862" t="s">
        <v>27</v>
      </c>
      <c r="H862" s="1">
        <v>45599</v>
      </c>
      <c r="I862" s="1">
        <v>45599</v>
      </c>
      <c r="J862">
        <f>Sheet1[[#This Row],[Close Date]]-Sheet1[[#This Row],[Open Date]]</f>
        <v>0</v>
      </c>
      <c r="K862" t="str">
        <f>IF(Sheet1[[#This Row],[Actual Days]]&gt;=1,"Not Met","Met")</f>
        <v>Met</v>
      </c>
      <c r="L862" t="str">
        <f>TEXT(Sheet1[[#This Row],[Open Date]],"mmm")</f>
        <v>Nov</v>
      </c>
    </row>
    <row r="863" spans="1:12" x14ac:dyDescent="0.3">
      <c r="A863" t="s">
        <v>1123</v>
      </c>
      <c r="B863" t="s">
        <v>42</v>
      </c>
      <c r="C863" t="s">
        <v>107</v>
      </c>
      <c r="D863" t="s">
        <v>32</v>
      </c>
      <c r="E863" t="s">
        <v>262</v>
      </c>
      <c r="F863" t="s">
        <v>40</v>
      </c>
      <c r="G863" t="s">
        <v>59</v>
      </c>
      <c r="H863" s="1">
        <v>45605</v>
      </c>
      <c r="I863" s="1">
        <v>45605</v>
      </c>
      <c r="J863">
        <f>Sheet1[[#This Row],[Close Date]]-Sheet1[[#This Row],[Open Date]]</f>
        <v>0</v>
      </c>
      <c r="K863" t="str">
        <f>IF(Sheet1[[#This Row],[Actual Days]]&gt;=1,"Not Met","Met")</f>
        <v>Met</v>
      </c>
      <c r="L863" t="str">
        <f>TEXT(Sheet1[[#This Row],[Open Date]],"mmm")</f>
        <v>Nov</v>
      </c>
    </row>
    <row r="864" spans="1:12" x14ac:dyDescent="0.3">
      <c r="A864" t="s">
        <v>1124</v>
      </c>
      <c r="B864" t="s">
        <v>42</v>
      </c>
      <c r="C864" t="s">
        <v>43</v>
      </c>
      <c r="D864" t="s">
        <v>156</v>
      </c>
      <c r="E864" t="s">
        <v>264</v>
      </c>
      <c r="F864" t="s">
        <v>26</v>
      </c>
      <c r="G864" t="s">
        <v>59</v>
      </c>
      <c r="H864" s="1">
        <v>45644</v>
      </c>
      <c r="I864" s="1">
        <v>45644</v>
      </c>
      <c r="J864">
        <f>Sheet1[[#This Row],[Close Date]]-Sheet1[[#This Row],[Open Date]]</f>
        <v>0</v>
      </c>
      <c r="K864" t="str">
        <f>IF(Sheet1[[#This Row],[Actual Days]]&gt;=1,"Not Met","Met")</f>
        <v>Met</v>
      </c>
      <c r="L864" t="str">
        <f>TEXT(Sheet1[[#This Row],[Open Date]],"mmm")</f>
        <v>Dec</v>
      </c>
    </row>
    <row r="865" spans="1:12" x14ac:dyDescent="0.3">
      <c r="A865" t="s">
        <v>1125</v>
      </c>
      <c r="B865" t="s">
        <v>30</v>
      </c>
      <c r="C865" t="s">
        <v>51</v>
      </c>
      <c r="D865" t="s">
        <v>156</v>
      </c>
      <c r="E865" t="s">
        <v>266</v>
      </c>
      <c r="F865" t="s">
        <v>17</v>
      </c>
      <c r="G865" t="s">
        <v>45</v>
      </c>
      <c r="H865" s="1">
        <v>45595</v>
      </c>
      <c r="I865" s="1">
        <v>45595</v>
      </c>
      <c r="J865">
        <f>Sheet1[[#This Row],[Close Date]]-Sheet1[[#This Row],[Open Date]]</f>
        <v>0</v>
      </c>
      <c r="K865" t="str">
        <f>IF(Sheet1[[#This Row],[Actual Days]]&gt;=1,"Not Met","Met")</f>
        <v>Met</v>
      </c>
      <c r="L865" t="str">
        <f>TEXT(Sheet1[[#This Row],[Open Date]],"mmm")</f>
        <v>Oct</v>
      </c>
    </row>
    <row r="866" spans="1:12" x14ac:dyDescent="0.3">
      <c r="A866" t="s">
        <v>1126</v>
      </c>
      <c r="B866" t="s">
        <v>42</v>
      </c>
      <c r="C866" t="s">
        <v>107</v>
      </c>
      <c r="D866" t="s">
        <v>38</v>
      </c>
      <c r="E866" t="s">
        <v>268</v>
      </c>
      <c r="F866" t="s">
        <v>26</v>
      </c>
      <c r="G866" t="s">
        <v>34</v>
      </c>
      <c r="H866" s="1">
        <v>45574</v>
      </c>
      <c r="I866" s="1">
        <v>45574</v>
      </c>
      <c r="J866">
        <f>Sheet1[[#This Row],[Close Date]]-Sheet1[[#This Row],[Open Date]]</f>
        <v>0</v>
      </c>
      <c r="K866" t="str">
        <f>IF(Sheet1[[#This Row],[Actual Days]]&gt;=1,"Not Met","Met")</f>
        <v>Met</v>
      </c>
      <c r="L866" t="str">
        <f>TEXT(Sheet1[[#This Row],[Open Date]],"mmm")</f>
        <v>Oct</v>
      </c>
    </row>
    <row r="867" spans="1:12" x14ac:dyDescent="0.3">
      <c r="A867" t="s">
        <v>1127</v>
      </c>
      <c r="B867" t="s">
        <v>36</v>
      </c>
      <c r="C867" t="s">
        <v>76</v>
      </c>
      <c r="D867" t="s">
        <v>24</v>
      </c>
      <c r="E867" t="s">
        <v>270</v>
      </c>
      <c r="F867" t="s">
        <v>40</v>
      </c>
      <c r="G867" t="s">
        <v>45</v>
      </c>
      <c r="H867" s="1">
        <v>45591</v>
      </c>
      <c r="I867" s="1">
        <v>45591</v>
      </c>
      <c r="J867">
        <f>Sheet1[[#This Row],[Close Date]]-Sheet1[[#This Row],[Open Date]]</f>
        <v>0</v>
      </c>
      <c r="K867" t="str">
        <f>IF(Sheet1[[#This Row],[Actual Days]]&gt;=1,"Not Met","Met")</f>
        <v>Met</v>
      </c>
      <c r="L867" t="str">
        <f>TEXT(Sheet1[[#This Row],[Open Date]],"mmm")</f>
        <v>Oct</v>
      </c>
    </row>
    <row r="868" spans="1:12" x14ac:dyDescent="0.3">
      <c r="A868" t="s">
        <v>1128</v>
      </c>
      <c r="B868" t="s">
        <v>30</v>
      </c>
      <c r="C868" t="s">
        <v>51</v>
      </c>
      <c r="D868" t="s">
        <v>32</v>
      </c>
      <c r="E868" t="s">
        <v>272</v>
      </c>
      <c r="F868" t="s">
        <v>40</v>
      </c>
      <c r="G868" t="s">
        <v>49</v>
      </c>
      <c r="H868" s="1">
        <v>45540</v>
      </c>
      <c r="I868" s="1">
        <v>45541</v>
      </c>
      <c r="J868">
        <f>Sheet1[[#This Row],[Close Date]]-Sheet1[[#This Row],[Open Date]]</f>
        <v>1</v>
      </c>
      <c r="K868" t="str">
        <f>IF(Sheet1[[#This Row],[Actual Days]]&gt;=1,"Not Met","Met")</f>
        <v>Not Met</v>
      </c>
      <c r="L868" t="str">
        <f>TEXT(Sheet1[[#This Row],[Open Date]],"mmm")</f>
        <v>Sep</v>
      </c>
    </row>
    <row r="869" spans="1:12" x14ac:dyDescent="0.3">
      <c r="A869" t="s">
        <v>1129</v>
      </c>
      <c r="B869" t="s">
        <v>30</v>
      </c>
      <c r="C869" t="s">
        <v>31</v>
      </c>
      <c r="D869" t="s">
        <v>38</v>
      </c>
      <c r="E869" t="s">
        <v>274</v>
      </c>
      <c r="F869" t="s">
        <v>40</v>
      </c>
      <c r="G869" t="s">
        <v>34</v>
      </c>
      <c r="H869" s="1">
        <v>45614</v>
      </c>
      <c r="I869" s="1">
        <v>45614</v>
      </c>
      <c r="J869">
        <f>Sheet1[[#This Row],[Close Date]]-Sheet1[[#This Row],[Open Date]]</f>
        <v>0</v>
      </c>
      <c r="K869" t="str">
        <f>IF(Sheet1[[#This Row],[Actual Days]]&gt;=1,"Not Met","Met")</f>
        <v>Met</v>
      </c>
      <c r="L869" t="str">
        <f>TEXT(Sheet1[[#This Row],[Open Date]],"mmm")</f>
        <v>Nov</v>
      </c>
    </row>
    <row r="870" spans="1:12" x14ac:dyDescent="0.3">
      <c r="A870" t="s">
        <v>1130</v>
      </c>
      <c r="B870" t="s">
        <v>13</v>
      </c>
      <c r="C870" t="s">
        <v>68</v>
      </c>
      <c r="D870" t="s">
        <v>87</v>
      </c>
      <c r="E870" t="s">
        <v>276</v>
      </c>
      <c r="F870" t="s">
        <v>17</v>
      </c>
      <c r="G870" t="s">
        <v>59</v>
      </c>
      <c r="H870" s="1">
        <v>45544</v>
      </c>
      <c r="I870" s="1">
        <v>45544</v>
      </c>
      <c r="J870">
        <f>Sheet1[[#This Row],[Close Date]]-Sheet1[[#This Row],[Open Date]]</f>
        <v>0</v>
      </c>
      <c r="K870" t="str">
        <f>IF(Sheet1[[#This Row],[Actual Days]]&gt;=1,"Not Met","Met")</f>
        <v>Met</v>
      </c>
      <c r="L870" t="str">
        <f>TEXT(Sheet1[[#This Row],[Open Date]],"mmm")</f>
        <v>Sep</v>
      </c>
    </row>
    <row r="871" spans="1:12" x14ac:dyDescent="0.3">
      <c r="A871" t="s">
        <v>1131</v>
      </c>
      <c r="B871" t="s">
        <v>42</v>
      </c>
      <c r="C871" t="s">
        <v>104</v>
      </c>
      <c r="D871" t="s">
        <v>15</v>
      </c>
      <c r="E871" t="s">
        <v>278</v>
      </c>
      <c r="F871" t="s">
        <v>40</v>
      </c>
      <c r="G871" t="s">
        <v>45</v>
      </c>
      <c r="H871" s="1">
        <v>45500</v>
      </c>
      <c r="I871" s="1">
        <v>45500</v>
      </c>
      <c r="J871">
        <f>Sheet1[[#This Row],[Close Date]]-Sheet1[[#This Row],[Open Date]]</f>
        <v>0</v>
      </c>
      <c r="K871" t="str">
        <f>IF(Sheet1[[#This Row],[Actual Days]]&gt;=1,"Not Met","Met")</f>
        <v>Met</v>
      </c>
      <c r="L871" t="str">
        <f>TEXT(Sheet1[[#This Row],[Open Date]],"mmm")</f>
        <v>Jul</v>
      </c>
    </row>
    <row r="872" spans="1:12" x14ac:dyDescent="0.3">
      <c r="A872" t="s">
        <v>1132</v>
      </c>
      <c r="B872" t="s">
        <v>30</v>
      </c>
      <c r="C872" t="s">
        <v>161</v>
      </c>
      <c r="D872" t="s">
        <v>38</v>
      </c>
      <c r="E872" t="s">
        <v>280</v>
      </c>
      <c r="F872" t="s">
        <v>26</v>
      </c>
      <c r="G872" t="s">
        <v>49</v>
      </c>
      <c r="H872" s="1">
        <v>45495</v>
      </c>
      <c r="I872" s="1">
        <v>45495</v>
      </c>
      <c r="J872">
        <f>Sheet1[[#This Row],[Close Date]]-Sheet1[[#This Row],[Open Date]]</f>
        <v>0</v>
      </c>
      <c r="K872" t="str">
        <f>IF(Sheet1[[#This Row],[Actual Days]]&gt;=1,"Not Met","Met")</f>
        <v>Met</v>
      </c>
      <c r="L872" t="str">
        <f>TEXT(Sheet1[[#This Row],[Open Date]],"mmm")</f>
        <v>Jul</v>
      </c>
    </row>
    <row r="873" spans="1:12" x14ac:dyDescent="0.3">
      <c r="A873" t="s">
        <v>1133</v>
      </c>
      <c r="B873" t="s">
        <v>22</v>
      </c>
      <c r="C873" t="s">
        <v>101</v>
      </c>
      <c r="D873" t="s">
        <v>38</v>
      </c>
      <c r="E873" t="s">
        <v>282</v>
      </c>
      <c r="F873" t="s">
        <v>26</v>
      </c>
      <c r="G873" t="s">
        <v>49</v>
      </c>
      <c r="H873" s="1">
        <v>45562</v>
      </c>
      <c r="I873" s="1">
        <v>45563</v>
      </c>
      <c r="J873">
        <f>Sheet1[[#This Row],[Close Date]]-Sheet1[[#This Row],[Open Date]]</f>
        <v>1</v>
      </c>
      <c r="K873" t="str">
        <f>IF(Sheet1[[#This Row],[Actual Days]]&gt;=1,"Not Met","Met")</f>
        <v>Not Met</v>
      </c>
      <c r="L873" t="str">
        <f>TEXT(Sheet1[[#This Row],[Open Date]],"mmm")</f>
        <v>Sep</v>
      </c>
    </row>
    <row r="874" spans="1:12" x14ac:dyDescent="0.3">
      <c r="A874" t="s">
        <v>1134</v>
      </c>
      <c r="B874" t="s">
        <v>36</v>
      </c>
      <c r="C874" t="s">
        <v>37</v>
      </c>
      <c r="D874" t="s">
        <v>38</v>
      </c>
      <c r="E874" t="s">
        <v>284</v>
      </c>
      <c r="F874" t="s">
        <v>17</v>
      </c>
      <c r="G874" t="s">
        <v>27</v>
      </c>
      <c r="H874" s="1">
        <v>45549</v>
      </c>
      <c r="I874" s="1">
        <v>45549</v>
      </c>
      <c r="J874">
        <f>Sheet1[[#This Row],[Close Date]]-Sheet1[[#This Row],[Open Date]]</f>
        <v>0</v>
      </c>
      <c r="K874" t="str">
        <f>IF(Sheet1[[#This Row],[Actual Days]]&gt;=1,"Not Met","Met")</f>
        <v>Met</v>
      </c>
      <c r="L874" t="str">
        <f>TEXT(Sheet1[[#This Row],[Open Date]],"mmm")</f>
        <v>Sep</v>
      </c>
    </row>
    <row r="875" spans="1:12" x14ac:dyDescent="0.3">
      <c r="A875" t="s">
        <v>1135</v>
      </c>
      <c r="B875" t="s">
        <v>13</v>
      </c>
      <c r="C875" t="s">
        <v>65</v>
      </c>
      <c r="D875" t="s">
        <v>73</v>
      </c>
      <c r="E875" t="s">
        <v>286</v>
      </c>
      <c r="F875" t="s">
        <v>17</v>
      </c>
      <c r="G875" t="s">
        <v>49</v>
      </c>
      <c r="H875" s="1">
        <v>45576</v>
      </c>
      <c r="I875" s="1">
        <v>45576</v>
      </c>
      <c r="J875">
        <f>Sheet1[[#This Row],[Close Date]]-Sheet1[[#This Row],[Open Date]]</f>
        <v>0</v>
      </c>
      <c r="K875" t="str">
        <f>IF(Sheet1[[#This Row],[Actual Days]]&gt;=1,"Not Met","Met")</f>
        <v>Met</v>
      </c>
      <c r="L875" t="str">
        <f>TEXT(Sheet1[[#This Row],[Open Date]],"mmm")</f>
        <v>Oct</v>
      </c>
    </row>
    <row r="876" spans="1:12" x14ac:dyDescent="0.3">
      <c r="A876" t="s">
        <v>1136</v>
      </c>
      <c r="B876" t="s">
        <v>30</v>
      </c>
      <c r="C876" t="s">
        <v>31</v>
      </c>
      <c r="D876" t="s">
        <v>73</v>
      </c>
      <c r="E876" t="s">
        <v>288</v>
      </c>
      <c r="F876" t="s">
        <v>26</v>
      </c>
      <c r="G876" t="s">
        <v>27</v>
      </c>
      <c r="H876" s="1">
        <v>45616</v>
      </c>
      <c r="I876" s="1">
        <v>45616</v>
      </c>
      <c r="J876">
        <f>Sheet1[[#This Row],[Close Date]]-Sheet1[[#This Row],[Open Date]]</f>
        <v>0</v>
      </c>
      <c r="K876" t="str">
        <f>IF(Sheet1[[#This Row],[Actual Days]]&gt;=1,"Not Met","Met")</f>
        <v>Met</v>
      </c>
      <c r="L876" t="str">
        <f>TEXT(Sheet1[[#This Row],[Open Date]],"mmm")</f>
        <v>Nov</v>
      </c>
    </row>
    <row r="877" spans="1:12" x14ac:dyDescent="0.3">
      <c r="A877" t="s">
        <v>1137</v>
      </c>
      <c r="B877" t="s">
        <v>30</v>
      </c>
      <c r="C877" t="s">
        <v>161</v>
      </c>
      <c r="D877" t="s">
        <v>87</v>
      </c>
      <c r="E877" t="s">
        <v>290</v>
      </c>
      <c r="F877" t="s">
        <v>40</v>
      </c>
      <c r="G877" t="s">
        <v>59</v>
      </c>
      <c r="H877" s="1">
        <v>45478</v>
      </c>
      <c r="I877" s="1">
        <v>45478</v>
      </c>
      <c r="J877">
        <f>Sheet1[[#This Row],[Close Date]]-Sheet1[[#This Row],[Open Date]]</f>
        <v>0</v>
      </c>
      <c r="K877" t="str">
        <f>IF(Sheet1[[#This Row],[Actual Days]]&gt;=1,"Not Met","Met")</f>
        <v>Met</v>
      </c>
      <c r="L877" t="str">
        <f>TEXT(Sheet1[[#This Row],[Open Date]],"mmm")</f>
        <v>Jul</v>
      </c>
    </row>
    <row r="878" spans="1:12" x14ac:dyDescent="0.3">
      <c r="A878" t="s">
        <v>1138</v>
      </c>
      <c r="B878" t="s">
        <v>22</v>
      </c>
      <c r="C878" t="s">
        <v>84</v>
      </c>
      <c r="D878" t="s">
        <v>156</v>
      </c>
      <c r="E878" t="s">
        <v>292</v>
      </c>
      <c r="F878" t="s">
        <v>40</v>
      </c>
      <c r="G878" t="s">
        <v>59</v>
      </c>
      <c r="H878" s="1">
        <v>45569</v>
      </c>
      <c r="I878" s="1">
        <v>45569</v>
      </c>
      <c r="J878">
        <f>Sheet1[[#This Row],[Close Date]]-Sheet1[[#This Row],[Open Date]]</f>
        <v>0</v>
      </c>
      <c r="K878" t="str">
        <f>IF(Sheet1[[#This Row],[Actual Days]]&gt;=1,"Not Met","Met")</f>
        <v>Met</v>
      </c>
      <c r="L878" t="str">
        <f>TEXT(Sheet1[[#This Row],[Open Date]],"mmm")</f>
        <v>Oct</v>
      </c>
    </row>
    <row r="879" spans="1:12" x14ac:dyDescent="0.3">
      <c r="A879" t="s">
        <v>1139</v>
      </c>
      <c r="B879" t="s">
        <v>42</v>
      </c>
      <c r="C879" t="s">
        <v>107</v>
      </c>
      <c r="D879" t="s">
        <v>87</v>
      </c>
      <c r="E879" t="s">
        <v>294</v>
      </c>
      <c r="F879" t="s">
        <v>26</v>
      </c>
      <c r="G879" t="s">
        <v>18</v>
      </c>
      <c r="H879" s="1">
        <v>45589</v>
      </c>
      <c r="I879" s="1">
        <v>45589</v>
      </c>
      <c r="J879">
        <f>Sheet1[[#This Row],[Close Date]]-Sheet1[[#This Row],[Open Date]]</f>
        <v>0</v>
      </c>
      <c r="K879" t="str">
        <f>IF(Sheet1[[#This Row],[Actual Days]]&gt;=1,"Not Met","Met")</f>
        <v>Met</v>
      </c>
      <c r="L879" t="str">
        <f>TEXT(Sheet1[[#This Row],[Open Date]],"mmm")</f>
        <v>Oct</v>
      </c>
    </row>
    <row r="880" spans="1:12" x14ac:dyDescent="0.3">
      <c r="A880" t="s">
        <v>1140</v>
      </c>
      <c r="B880" t="s">
        <v>22</v>
      </c>
      <c r="C880" t="s">
        <v>23</v>
      </c>
      <c r="D880" t="s">
        <v>73</v>
      </c>
      <c r="E880" t="s">
        <v>296</v>
      </c>
      <c r="F880" t="s">
        <v>17</v>
      </c>
      <c r="G880" t="s">
        <v>59</v>
      </c>
      <c r="H880" s="1">
        <v>45520</v>
      </c>
      <c r="I880" s="1">
        <v>45520</v>
      </c>
      <c r="J880">
        <f>Sheet1[[#This Row],[Close Date]]-Sheet1[[#This Row],[Open Date]]</f>
        <v>0</v>
      </c>
      <c r="K880" t="str">
        <f>IF(Sheet1[[#This Row],[Actual Days]]&gt;=1,"Not Met","Met")</f>
        <v>Met</v>
      </c>
      <c r="L880" t="str">
        <f>TEXT(Sheet1[[#This Row],[Open Date]],"mmm")</f>
        <v>Aug</v>
      </c>
    </row>
    <row r="881" spans="1:12" x14ac:dyDescent="0.3">
      <c r="A881" t="s">
        <v>1141</v>
      </c>
      <c r="B881" t="s">
        <v>13</v>
      </c>
      <c r="C881" t="s">
        <v>14</v>
      </c>
      <c r="D881" t="s">
        <v>24</v>
      </c>
      <c r="E881" t="s">
        <v>298</v>
      </c>
      <c r="F881" t="s">
        <v>26</v>
      </c>
      <c r="G881" t="s">
        <v>27</v>
      </c>
      <c r="H881" s="1">
        <v>45586</v>
      </c>
      <c r="I881" s="1">
        <v>45586</v>
      </c>
      <c r="J881">
        <f>Sheet1[[#This Row],[Close Date]]-Sheet1[[#This Row],[Open Date]]</f>
        <v>0</v>
      </c>
      <c r="K881" t="str">
        <f>IF(Sheet1[[#This Row],[Actual Days]]&gt;=1,"Not Met","Met")</f>
        <v>Met</v>
      </c>
      <c r="L881" t="str">
        <f>TEXT(Sheet1[[#This Row],[Open Date]],"mmm")</f>
        <v>Oct</v>
      </c>
    </row>
    <row r="882" spans="1:12" x14ac:dyDescent="0.3">
      <c r="A882" t="s">
        <v>1142</v>
      </c>
      <c r="B882" t="s">
        <v>22</v>
      </c>
      <c r="C882" t="s">
        <v>84</v>
      </c>
      <c r="D882" t="s">
        <v>24</v>
      </c>
      <c r="E882" t="s">
        <v>300</v>
      </c>
      <c r="F882" t="s">
        <v>26</v>
      </c>
      <c r="G882" t="s">
        <v>45</v>
      </c>
      <c r="H882" s="1">
        <v>45633</v>
      </c>
      <c r="I882" s="1">
        <v>45633</v>
      </c>
      <c r="J882">
        <f>Sheet1[[#This Row],[Close Date]]-Sheet1[[#This Row],[Open Date]]</f>
        <v>0</v>
      </c>
      <c r="K882" t="str">
        <f>IF(Sheet1[[#This Row],[Actual Days]]&gt;=1,"Not Met","Met")</f>
        <v>Met</v>
      </c>
      <c r="L882" t="str">
        <f>TEXT(Sheet1[[#This Row],[Open Date]],"mmm")</f>
        <v>Dec</v>
      </c>
    </row>
    <row r="883" spans="1:12" x14ac:dyDescent="0.3">
      <c r="A883" t="s">
        <v>1143</v>
      </c>
      <c r="B883" t="s">
        <v>36</v>
      </c>
      <c r="C883" t="s">
        <v>37</v>
      </c>
      <c r="D883" t="s">
        <v>87</v>
      </c>
      <c r="E883" t="s">
        <v>302</v>
      </c>
      <c r="F883" t="s">
        <v>40</v>
      </c>
      <c r="G883" t="s">
        <v>59</v>
      </c>
      <c r="H883" s="1">
        <v>45481</v>
      </c>
      <c r="I883" s="1">
        <v>45481</v>
      </c>
      <c r="J883">
        <f>Sheet1[[#This Row],[Close Date]]-Sheet1[[#This Row],[Open Date]]</f>
        <v>0</v>
      </c>
      <c r="K883" t="str">
        <f>IF(Sheet1[[#This Row],[Actual Days]]&gt;=1,"Not Met","Met")</f>
        <v>Met</v>
      </c>
      <c r="L883" t="str">
        <f>TEXT(Sheet1[[#This Row],[Open Date]],"mmm")</f>
        <v>Jul</v>
      </c>
    </row>
    <row r="884" spans="1:12" x14ac:dyDescent="0.3">
      <c r="A884" t="s">
        <v>1144</v>
      </c>
      <c r="B884" t="s">
        <v>36</v>
      </c>
      <c r="C884" t="s">
        <v>62</v>
      </c>
      <c r="D884" t="s">
        <v>156</v>
      </c>
      <c r="E884" t="s">
        <v>304</v>
      </c>
      <c r="F884" t="s">
        <v>17</v>
      </c>
      <c r="G884" t="s">
        <v>59</v>
      </c>
      <c r="H884" s="1">
        <v>45616</v>
      </c>
      <c r="I884" s="1">
        <v>45616</v>
      </c>
      <c r="J884">
        <f>Sheet1[[#This Row],[Close Date]]-Sheet1[[#This Row],[Open Date]]</f>
        <v>0</v>
      </c>
      <c r="K884" t="str">
        <f>IF(Sheet1[[#This Row],[Actual Days]]&gt;=1,"Not Met","Met")</f>
        <v>Met</v>
      </c>
      <c r="L884" t="str">
        <f>TEXT(Sheet1[[#This Row],[Open Date]],"mmm")</f>
        <v>Nov</v>
      </c>
    </row>
    <row r="885" spans="1:12" x14ac:dyDescent="0.3">
      <c r="A885" t="s">
        <v>1145</v>
      </c>
      <c r="B885" t="s">
        <v>30</v>
      </c>
      <c r="C885" t="s">
        <v>31</v>
      </c>
      <c r="D885" t="s">
        <v>94</v>
      </c>
      <c r="E885" t="s">
        <v>306</v>
      </c>
      <c r="F885" t="s">
        <v>26</v>
      </c>
      <c r="G885" t="s">
        <v>18</v>
      </c>
      <c r="H885" s="1">
        <v>45588</v>
      </c>
      <c r="I885" s="1">
        <v>45588</v>
      </c>
      <c r="J885">
        <f>Sheet1[[#This Row],[Close Date]]-Sheet1[[#This Row],[Open Date]]</f>
        <v>0</v>
      </c>
      <c r="K885" t="str">
        <f>IF(Sheet1[[#This Row],[Actual Days]]&gt;=1,"Not Met","Met")</f>
        <v>Met</v>
      </c>
      <c r="L885" t="str">
        <f>TEXT(Sheet1[[#This Row],[Open Date]],"mmm")</f>
        <v>Oct</v>
      </c>
    </row>
    <row r="886" spans="1:12" x14ac:dyDescent="0.3">
      <c r="A886" t="s">
        <v>1146</v>
      </c>
      <c r="B886" t="s">
        <v>42</v>
      </c>
      <c r="C886" t="s">
        <v>43</v>
      </c>
      <c r="D886" t="s">
        <v>15</v>
      </c>
      <c r="E886" t="s">
        <v>308</v>
      </c>
      <c r="F886" t="s">
        <v>26</v>
      </c>
      <c r="G886" t="s">
        <v>45</v>
      </c>
      <c r="H886" s="1">
        <v>45512</v>
      </c>
      <c r="I886" s="1">
        <v>45512</v>
      </c>
      <c r="J886">
        <f>Sheet1[[#This Row],[Close Date]]-Sheet1[[#This Row],[Open Date]]</f>
        <v>0</v>
      </c>
      <c r="K886" t="str">
        <f>IF(Sheet1[[#This Row],[Actual Days]]&gt;=1,"Not Met","Met")</f>
        <v>Met</v>
      </c>
      <c r="L886" t="str">
        <f>TEXT(Sheet1[[#This Row],[Open Date]],"mmm")</f>
        <v>Aug</v>
      </c>
    </row>
    <row r="887" spans="1:12" x14ac:dyDescent="0.3">
      <c r="A887" t="s">
        <v>1147</v>
      </c>
      <c r="B887" t="s">
        <v>30</v>
      </c>
      <c r="C887" t="s">
        <v>31</v>
      </c>
      <c r="D887" t="s">
        <v>38</v>
      </c>
      <c r="E887" t="s">
        <v>310</v>
      </c>
      <c r="F887" t="s">
        <v>26</v>
      </c>
      <c r="G887" t="s">
        <v>49</v>
      </c>
      <c r="H887" s="1">
        <v>45598</v>
      </c>
      <c r="I887" s="1">
        <v>45598</v>
      </c>
      <c r="J887">
        <f>Sheet1[[#This Row],[Close Date]]-Sheet1[[#This Row],[Open Date]]</f>
        <v>0</v>
      </c>
      <c r="K887" t="str">
        <f>IF(Sheet1[[#This Row],[Actual Days]]&gt;=1,"Not Met","Met")</f>
        <v>Met</v>
      </c>
      <c r="L887" t="str">
        <f>TEXT(Sheet1[[#This Row],[Open Date]],"mmm")</f>
        <v>Nov</v>
      </c>
    </row>
    <row r="888" spans="1:12" x14ac:dyDescent="0.3">
      <c r="A888" t="s">
        <v>1148</v>
      </c>
      <c r="B888" t="s">
        <v>13</v>
      </c>
      <c r="C888" t="s">
        <v>65</v>
      </c>
      <c r="D888" t="s">
        <v>94</v>
      </c>
      <c r="E888" t="s">
        <v>312</v>
      </c>
      <c r="F888" t="s">
        <v>40</v>
      </c>
      <c r="G888" t="s">
        <v>45</v>
      </c>
      <c r="H888" s="1">
        <v>45582</v>
      </c>
      <c r="I888" s="1">
        <v>45582</v>
      </c>
      <c r="J888">
        <f>Sheet1[[#This Row],[Close Date]]-Sheet1[[#This Row],[Open Date]]</f>
        <v>0</v>
      </c>
      <c r="K888" t="str">
        <f>IF(Sheet1[[#This Row],[Actual Days]]&gt;=1,"Not Met","Met")</f>
        <v>Met</v>
      </c>
      <c r="L888" t="str">
        <f>TEXT(Sheet1[[#This Row],[Open Date]],"mmm")</f>
        <v>Oct</v>
      </c>
    </row>
    <row r="889" spans="1:12" x14ac:dyDescent="0.3">
      <c r="A889" t="s">
        <v>1149</v>
      </c>
      <c r="B889" t="s">
        <v>30</v>
      </c>
      <c r="C889" t="s">
        <v>51</v>
      </c>
      <c r="D889" t="s">
        <v>73</v>
      </c>
      <c r="E889" t="s">
        <v>314</v>
      </c>
      <c r="F889" t="s">
        <v>17</v>
      </c>
      <c r="G889" t="s">
        <v>18</v>
      </c>
      <c r="H889" s="1">
        <v>45486</v>
      </c>
      <c r="I889" s="1">
        <v>45486</v>
      </c>
      <c r="J889">
        <f>Sheet1[[#This Row],[Close Date]]-Sheet1[[#This Row],[Open Date]]</f>
        <v>0</v>
      </c>
      <c r="K889" t="str">
        <f>IF(Sheet1[[#This Row],[Actual Days]]&gt;=1,"Not Met","Met")</f>
        <v>Met</v>
      </c>
      <c r="L889" t="str">
        <f>TEXT(Sheet1[[#This Row],[Open Date]],"mmm")</f>
        <v>Jul</v>
      </c>
    </row>
    <row r="890" spans="1:12" x14ac:dyDescent="0.3">
      <c r="A890" t="s">
        <v>1150</v>
      </c>
      <c r="B890" t="s">
        <v>22</v>
      </c>
      <c r="C890" t="s">
        <v>23</v>
      </c>
      <c r="D890" t="s">
        <v>38</v>
      </c>
      <c r="E890" t="s">
        <v>316</v>
      </c>
      <c r="F890" t="s">
        <v>17</v>
      </c>
      <c r="G890" t="s">
        <v>34</v>
      </c>
      <c r="H890" s="1">
        <v>45487</v>
      </c>
      <c r="I890" s="1">
        <v>45487</v>
      </c>
      <c r="J890">
        <f>Sheet1[[#This Row],[Close Date]]-Sheet1[[#This Row],[Open Date]]</f>
        <v>0</v>
      </c>
      <c r="K890" t="str">
        <f>IF(Sheet1[[#This Row],[Actual Days]]&gt;=1,"Not Met","Met")</f>
        <v>Met</v>
      </c>
      <c r="L890" t="str">
        <f>TEXT(Sheet1[[#This Row],[Open Date]],"mmm")</f>
        <v>Jul</v>
      </c>
    </row>
    <row r="891" spans="1:12" x14ac:dyDescent="0.3">
      <c r="A891" t="s">
        <v>1151</v>
      </c>
      <c r="B891" t="s">
        <v>13</v>
      </c>
      <c r="C891" t="s">
        <v>65</v>
      </c>
      <c r="D891" t="s">
        <v>38</v>
      </c>
      <c r="E891" t="s">
        <v>318</v>
      </c>
      <c r="F891" t="s">
        <v>17</v>
      </c>
      <c r="G891" t="s">
        <v>59</v>
      </c>
      <c r="H891" s="1">
        <v>45519</v>
      </c>
      <c r="I891" s="1">
        <v>45519</v>
      </c>
      <c r="J891">
        <f>Sheet1[[#This Row],[Close Date]]-Sheet1[[#This Row],[Open Date]]</f>
        <v>0</v>
      </c>
      <c r="K891" t="str">
        <f>IF(Sheet1[[#This Row],[Actual Days]]&gt;=1,"Not Met","Met")</f>
        <v>Met</v>
      </c>
      <c r="L891" t="str">
        <f>TEXT(Sheet1[[#This Row],[Open Date]],"mmm")</f>
        <v>Aug</v>
      </c>
    </row>
    <row r="892" spans="1:12" x14ac:dyDescent="0.3">
      <c r="A892" t="s">
        <v>1152</v>
      </c>
      <c r="B892" t="s">
        <v>30</v>
      </c>
      <c r="C892" t="s">
        <v>161</v>
      </c>
      <c r="D892" t="s">
        <v>15</v>
      </c>
      <c r="E892" t="s">
        <v>320</v>
      </c>
      <c r="F892" t="s">
        <v>26</v>
      </c>
      <c r="G892" t="s">
        <v>34</v>
      </c>
      <c r="H892" s="1">
        <v>45484</v>
      </c>
      <c r="I892" s="1">
        <v>45484</v>
      </c>
      <c r="J892">
        <f>Sheet1[[#This Row],[Close Date]]-Sheet1[[#This Row],[Open Date]]</f>
        <v>0</v>
      </c>
      <c r="K892" t="str">
        <f>IF(Sheet1[[#This Row],[Actual Days]]&gt;=1,"Not Met","Met")</f>
        <v>Met</v>
      </c>
      <c r="L892" t="str">
        <f>TEXT(Sheet1[[#This Row],[Open Date]],"mmm")</f>
        <v>Jul</v>
      </c>
    </row>
    <row r="893" spans="1:12" x14ac:dyDescent="0.3">
      <c r="A893" t="s">
        <v>1153</v>
      </c>
      <c r="B893" t="s">
        <v>36</v>
      </c>
      <c r="C893" t="s">
        <v>76</v>
      </c>
      <c r="D893" t="s">
        <v>38</v>
      </c>
      <c r="E893" t="s">
        <v>322</v>
      </c>
      <c r="F893" t="s">
        <v>40</v>
      </c>
      <c r="G893" t="s">
        <v>59</v>
      </c>
      <c r="H893" s="1">
        <v>45565</v>
      </c>
      <c r="I893" s="1">
        <v>45565</v>
      </c>
      <c r="J893">
        <f>Sheet1[[#This Row],[Close Date]]-Sheet1[[#This Row],[Open Date]]</f>
        <v>0</v>
      </c>
      <c r="K893" t="str">
        <f>IF(Sheet1[[#This Row],[Actual Days]]&gt;=1,"Not Met","Met")</f>
        <v>Met</v>
      </c>
      <c r="L893" t="str">
        <f>TEXT(Sheet1[[#This Row],[Open Date]],"mmm")</f>
        <v>Sep</v>
      </c>
    </row>
    <row r="894" spans="1:12" x14ac:dyDescent="0.3">
      <c r="A894" t="s">
        <v>1154</v>
      </c>
      <c r="B894" t="s">
        <v>13</v>
      </c>
      <c r="C894" t="s">
        <v>14</v>
      </c>
      <c r="D894" t="s">
        <v>156</v>
      </c>
      <c r="E894" t="s">
        <v>324</v>
      </c>
      <c r="F894" t="s">
        <v>17</v>
      </c>
      <c r="G894" t="s">
        <v>49</v>
      </c>
      <c r="H894" s="1">
        <v>45488</v>
      </c>
      <c r="I894" s="1">
        <v>45488</v>
      </c>
      <c r="J894">
        <f>Sheet1[[#This Row],[Close Date]]-Sheet1[[#This Row],[Open Date]]</f>
        <v>0</v>
      </c>
      <c r="K894" t="str">
        <f>IF(Sheet1[[#This Row],[Actual Days]]&gt;=1,"Not Met","Met")</f>
        <v>Met</v>
      </c>
      <c r="L894" t="str">
        <f>TEXT(Sheet1[[#This Row],[Open Date]],"mmm")</f>
        <v>Jul</v>
      </c>
    </row>
    <row r="895" spans="1:12" x14ac:dyDescent="0.3">
      <c r="A895" t="s">
        <v>1155</v>
      </c>
      <c r="B895" t="s">
        <v>13</v>
      </c>
      <c r="C895" t="s">
        <v>68</v>
      </c>
      <c r="D895" t="s">
        <v>38</v>
      </c>
      <c r="E895" t="s">
        <v>326</v>
      </c>
      <c r="F895" t="s">
        <v>17</v>
      </c>
      <c r="G895" t="s">
        <v>45</v>
      </c>
      <c r="H895" s="1">
        <v>45569</v>
      </c>
      <c r="I895" s="1">
        <v>45569</v>
      </c>
      <c r="J895">
        <f>Sheet1[[#This Row],[Close Date]]-Sheet1[[#This Row],[Open Date]]</f>
        <v>0</v>
      </c>
      <c r="K895" t="str">
        <f>IF(Sheet1[[#This Row],[Actual Days]]&gt;=1,"Not Met","Met")</f>
        <v>Met</v>
      </c>
      <c r="L895" t="str">
        <f>TEXT(Sheet1[[#This Row],[Open Date]],"mmm")</f>
        <v>Oct</v>
      </c>
    </row>
    <row r="896" spans="1:12" x14ac:dyDescent="0.3">
      <c r="A896" t="s">
        <v>1156</v>
      </c>
      <c r="B896" t="s">
        <v>13</v>
      </c>
      <c r="C896" t="s">
        <v>14</v>
      </c>
      <c r="D896" t="s">
        <v>32</v>
      </c>
      <c r="E896" t="s">
        <v>328</v>
      </c>
      <c r="F896" t="s">
        <v>26</v>
      </c>
      <c r="G896" t="s">
        <v>18</v>
      </c>
      <c r="H896" s="1">
        <v>45515</v>
      </c>
      <c r="I896" s="1">
        <v>45515</v>
      </c>
      <c r="J896">
        <f>Sheet1[[#This Row],[Close Date]]-Sheet1[[#This Row],[Open Date]]</f>
        <v>0</v>
      </c>
      <c r="K896" t="str">
        <f>IF(Sheet1[[#This Row],[Actual Days]]&gt;=1,"Not Met","Met")</f>
        <v>Met</v>
      </c>
      <c r="L896" t="str">
        <f>TEXT(Sheet1[[#This Row],[Open Date]],"mmm")</f>
        <v>Aug</v>
      </c>
    </row>
    <row r="897" spans="1:12" x14ac:dyDescent="0.3">
      <c r="A897" t="s">
        <v>1157</v>
      </c>
      <c r="B897" t="s">
        <v>22</v>
      </c>
      <c r="C897" t="s">
        <v>101</v>
      </c>
      <c r="D897" t="s">
        <v>38</v>
      </c>
      <c r="E897" t="s">
        <v>330</v>
      </c>
      <c r="F897" t="s">
        <v>26</v>
      </c>
      <c r="G897" t="s">
        <v>59</v>
      </c>
      <c r="H897" s="1">
        <v>45537</v>
      </c>
      <c r="I897" s="1">
        <v>45537</v>
      </c>
      <c r="J897">
        <f>Sheet1[[#This Row],[Close Date]]-Sheet1[[#This Row],[Open Date]]</f>
        <v>0</v>
      </c>
      <c r="K897" t="str">
        <f>IF(Sheet1[[#This Row],[Actual Days]]&gt;=1,"Not Met","Met")</f>
        <v>Met</v>
      </c>
      <c r="L897" t="str">
        <f>TEXT(Sheet1[[#This Row],[Open Date]],"mmm")</f>
        <v>Sep</v>
      </c>
    </row>
    <row r="898" spans="1:12" x14ac:dyDescent="0.3">
      <c r="A898" t="s">
        <v>1158</v>
      </c>
      <c r="B898" t="s">
        <v>42</v>
      </c>
      <c r="C898" t="s">
        <v>107</v>
      </c>
      <c r="D898" t="s">
        <v>38</v>
      </c>
      <c r="E898" t="s">
        <v>332</v>
      </c>
      <c r="F898" t="s">
        <v>26</v>
      </c>
      <c r="G898" t="s">
        <v>59</v>
      </c>
      <c r="H898" s="1">
        <v>45650</v>
      </c>
      <c r="I898" s="1">
        <v>45650</v>
      </c>
      <c r="J898">
        <f>Sheet1[[#This Row],[Close Date]]-Sheet1[[#This Row],[Open Date]]</f>
        <v>0</v>
      </c>
      <c r="K898" t="str">
        <f>IF(Sheet1[[#This Row],[Actual Days]]&gt;=1,"Not Met","Met")</f>
        <v>Met</v>
      </c>
      <c r="L898" t="str">
        <f>TEXT(Sheet1[[#This Row],[Open Date]],"mmm")</f>
        <v>Dec</v>
      </c>
    </row>
    <row r="899" spans="1:12" x14ac:dyDescent="0.3">
      <c r="A899" t="s">
        <v>1159</v>
      </c>
      <c r="B899" t="s">
        <v>13</v>
      </c>
      <c r="C899" t="s">
        <v>68</v>
      </c>
      <c r="D899" t="s">
        <v>38</v>
      </c>
      <c r="E899" t="s">
        <v>334</v>
      </c>
      <c r="F899" t="s">
        <v>40</v>
      </c>
      <c r="G899" t="s">
        <v>45</v>
      </c>
      <c r="H899" s="1">
        <v>45536</v>
      </c>
      <c r="I899" s="1">
        <v>45536</v>
      </c>
      <c r="J899">
        <f>Sheet1[[#This Row],[Close Date]]-Sheet1[[#This Row],[Open Date]]</f>
        <v>0</v>
      </c>
      <c r="K899" t="str">
        <f>IF(Sheet1[[#This Row],[Actual Days]]&gt;=1,"Not Met","Met")</f>
        <v>Met</v>
      </c>
      <c r="L899" t="str">
        <f>TEXT(Sheet1[[#This Row],[Open Date]],"mmm")</f>
        <v>Sep</v>
      </c>
    </row>
    <row r="900" spans="1:12" x14ac:dyDescent="0.3">
      <c r="A900" t="s">
        <v>1160</v>
      </c>
      <c r="B900" t="s">
        <v>22</v>
      </c>
      <c r="C900" t="s">
        <v>84</v>
      </c>
      <c r="D900" t="s">
        <v>156</v>
      </c>
      <c r="E900" t="s">
        <v>336</v>
      </c>
      <c r="F900" t="s">
        <v>17</v>
      </c>
      <c r="G900" t="s">
        <v>59</v>
      </c>
      <c r="H900" s="1">
        <v>45521</v>
      </c>
      <c r="I900" s="1">
        <v>45521</v>
      </c>
      <c r="J900">
        <f>Sheet1[[#This Row],[Close Date]]-Sheet1[[#This Row],[Open Date]]</f>
        <v>0</v>
      </c>
      <c r="K900" t="str">
        <f>IF(Sheet1[[#This Row],[Actual Days]]&gt;=1,"Not Met","Met")</f>
        <v>Met</v>
      </c>
      <c r="L900" t="str">
        <f>TEXT(Sheet1[[#This Row],[Open Date]],"mmm")</f>
        <v>Aug</v>
      </c>
    </row>
    <row r="901" spans="1:12" x14ac:dyDescent="0.3">
      <c r="A901" t="s">
        <v>1161</v>
      </c>
      <c r="B901" t="s">
        <v>13</v>
      </c>
      <c r="C901" t="s">
        <v>14</v>
      </c>
      <c r="D901" t="s">
        <v>38</v>
      </c>
      <c r="E901" t="s">
        <v>338</v>
      </c>
      <c r="F901" t="s">
        <v>40</v>
      </c>
      <c r="G901" t="s">
        <v>49</v>
      </c>
      <c r="H901" s="1">
        <v>45486</v>
      </c>
      <c r="I901" s="1">
        <v>45486</v>
      </c>
      <c r="J901">
        <f>Sheet1[[#This Row],[Close Date]]-Sheet1[[#This Row],[Open Date]]</f>
        <v>0</v>
      </c>
      <c r="K901" t="str">
        <f>IF(Sheet1[[#This Row],[Actual Days]]&gt;=1,"Not Met","Met")</f>
        <v>Met</v>
      </c>
      <c r="L901" t="str">
        <f>TEXT(Sheet1[[#This Row],[Open Date]],"mmm")</f>
        <v>Jul</v>
      </c>
    </row>
    <row r="902" spans="1:12" x14ac:dyDescent="0.3">
      <c r="A902" t="s">
        <v>1162</v>
      </c>
      <c r="B902" t="s">
        <v>22</v>
      </c>
      <c r="C902" t="s">
        <v>23</v>
      </c>
      <c r="D902" t="s">
        <v>15</v>
      </c>
      <c r="E902" t="s">
        <v>340</v>
      </c>
      <c r="F902" t="s">
        <v>26</v>
      </c>
      <c r="G902" t="s">
        <v>34</v>
      </c>
      <c r="H902" s="1">
        <v>45562</v>
      </c>
      <c r="I902" s="1">
        <v>45562</v>
      </c>
      <c r="J902">
        <f>Sheet1[[#This Row],[Close Date]]-Sheet1[[#This Row],[Open Date]]</f>
        <v>0</v>
      </c>
      <c r="K902" t="str">
        <f>IF(Sheet1[[#This Row],[Actual Days]]&gt;=1,"Not Met","Met")</f>
        <v>Met</v>
      </c>
      <c r="L902" t="str">
        <f>TEXT(Sheet1[[#This Row],[Open Date]],"mmm")</f>
        <v>Sep</v>
      </c>
    </row>
    <row r="903" spans="1:12" x14ac:dyDescent="0.3">
      <c r="A903" t="s">
        <v>1163</v>
      </c>
      <c r="B903" t="s">
        <v>36</v>
      </c>
      <c r="C903" t="s">
        <v>37</v>
      </c>
      <c r="D903" t="s">
        <v>156</v>
      </c>
      <c r="E903" t="s">
        <v>342</v>
      </c>
      <c r="F903" t="s">
        <v>26</v>
      </c>
      <c r="G903" t="s">
        <v>59</v>
      </c>
      <c r="H903" s="1">
        <v>45544</v>
      </c>
      <c r="I903" s="1">
        <v>45544</v>
      </c>
      <c r="J903">
        <f>Sheet1[[#This Row],[Close Date]]-Sheet1[[#This Row],[Open Date]]</f>
        <v>0</v>
      </c>
      <c r="K903" t="str">
        <f>IF(Sheet1[[#This Row],[Actual Days]]&gt;=1,"Not Met","Met")</f>
        <v>Met</v>
      </c>
      <c r="L903" t="str">
        <f>TEXT(Sheet1[[#This Row],[Open Date]],"mmm")</f>
        <v>Sep</v>
      </c>
    </row>
    <row r="904" spans="1:12" x14ac:dyDescent="0.3">
      <c r="A904" t="s">
        <v>1164</v>
      </c>
      <c r="B904" t="s">
        <v>22</v>
      </c>
      <c r="C904" t="s">
        <v>84</v>
      </c>
      <c r="D904" t="s">
        <v>15</v>
      </c>
      <c r="E904" t="s">
        <v>344</v>
      </c>
      <c r="F904" t="s">
        <v>40</v>
      </c>
      <c r="G904" t="s">
        <v>27</v>
      </c>
      <c r="H904" s="1">
        <v>45588</v>
      </c>
      <c r="I904" s="1">
        <v>45588</v>
      </c>
      <c r="J904">
        <f>Sheet1[[#This Row],[Close Date]]-Sheet1[[#This Row],[Open Date]]</f>
        <v>0</v>
      </c>
      <c r="K904" t="str">
        <f>IF(Sheet1[[#This Row],[Actual Days]]&gt;=1,"Not Met","Met")</f>
        <v>Met</v>
      </c>
      <c r="L904" t="str">
        <f>TEXT(Sheet1[[#This Row],[Open Date]],"mmm")</f>
        <v>Oct</v>
      </c>
    </row>
    <row r="905" spans="1:12" x14ac:dyDescent="0.3">
      <c r="A905" t="s">
        <v>1165</v>
      </c>
      <c r="B905" t="s">
        <v>30</v>
      </c>
      <c r="C905" t="s">
        <v>161</v>
      </c>
      <c r="D905" t="s">
        <v>87</v>
      </c>
      <c r="E905" t="s">
        <v>346</v>
      </c>
      <c r="F905" t="s">
        <v>17</v>
      </c>
      <c r="G905" t="s">
        <v>18</v>
      </c>
      <c r="H905" s="1">
        <v>45576</v>
      </c>
      <c r="I905" s="1">
        <v>45576</v>
      </c>
      <c r="J905">
        <f>Sheet1[[#This Row],[Close Date]]-Sheet1[[#This Row],[Open Date]]</f>
        <v>0</v>
      </c>
      <c r="K905" t="str">
        <f>IF(Sheet1[[#This Row],[Actual Days]]&gt;=1,"Not Met","Met")</f>
        <v>Met</v>
      </c>
      <c r="L905" t="str">
        <f>TEXT(Sheet1[[#This Row],[Open Date]],"mmm")</f>
        <v>Oct</v>
      </c>
    </row>
    <row r="906" spans="1:12" x14ac:dyDescent="0.3">
      <c r="A906" t="s">
        <v>1166</v>
      </c>
      <c r="B906" t="s">
        <v>22</v>
      </c>
      <c r="C906" t="s">
        <v>84</v>
      </c>
      <c r="D906" t="s">
        <v>87</v>
      </c>
      <c r="E906" t="s">
        <v>596</v>
      </c>
      <c r="F906" t="s">
        <v>26</v>
      </c>
      <c r="G906" t="s">
        <v>49</v>
      </c>
      <c r="H906" s="1">
        <v>45486</v>
      </c>
      <c r="I906" s="1">
        <v>45486</v>
      </c>
      <c r="J906">
        <f>Sheet1[[#This Row],[Close Date]]-Sheet1[[#This Row],[Open Date]]</f>
        <v>0</v>
      </c>
      <c r="K906" t="str">
        <f>IF(Sheet1[[#This Row],[Actual Days]]&gt;=1,"Not Met","Met")</f>
        <v>Met</v>
      </c>
      <c r="L906" t="str">
        <f>TEXT(Sheet1[[#This Row],[Open Date]],"mmm")</f>
        <v>Jul</v>
      </c>
    </row>
    <row r="907" spans="1:12" x14ac:dyDescent="0.3">
      <c r="A907" t="s">
        <v>1167</v>
      </c>
      <c r="B907" t="s">
        <v>22</v>
      </c>
      <c r="C907" t="s">
        <v>84</v>
      </c>
      <c r="D907" t="s">
        <v>94</v>
      </c>
      <c r="E907" t="s">
        <v>348</v>
      </c>
      <c r="F907" t="s">
        <v>40</v>
      </c>
      <c r="G907" t="s">
        <v>34</v>
      </c>
      <c r="H907" s="1">
        <v>45559</v>
      </c>
      <c r="I907" s="1">
        <v>45559</v>
      </c>
      <c r="J907">
        <f>Sheet1[[#This Row],[Close Date]]-Sheet1[[#This Row],[Open Date]]</f>
        <v>0</v>
      </c>
      <c r="K907" t="str">
        <f>IF(Sheet1[[#This Row],[Actual Days]]&gt;=1,"Not Met","Met")</f>
        <v>Met</v>
      </c>
      <c r="L907" t="str">
        <f>TEXT(Sheet1[[#This Row],[Open Date]],"mmm")</f>
        <v>Sep</v>
      </c>
    </row>
    <row r="908" spans="1:12" x14ac:dyDescent="0.3">
      <c r="A908" t="s">
        <v>1168</v>
      </c>
      <c r="B908" t="s">
        <v>13</v>
      </c>
      <c r="C908" t="s">
        <v>68</v>
      </c>
      <c r="D908" t="s">
        <v>156</v>
      </c>
      <c r="E908" t="s">
        <v>350</v>
      </c>
      <c r="F908" t="s">
        <v>17</v>
      </c>
      <c r="G908" t="s">
        <v>59</v>
      </c>
      <c r="H908" s="1">
        <v>45497</v>
      </c>
      <c r="I908" s="1">
        <v>45497</v>
      </c>
      <c r="J908">
        <f>Sheet1[[#This Row],[Close Date]]-Sheet1[[#This Row],[Open Date]]</f>
        <v>0</v>
      </c>
      <c r="K908" t="str">
        <f>IF(Sheet1[[#This Row],[Actual Days]]&gt;=1,"Not Met","Met")</f>
        <v>Met</v>
      </c>
      <c r="L908" t="str">
        <f>TEXT(Sheet1[[#This Row],[Open Date]],"mmm")</f>
        <v>Jul</v>
      </c>
    </row>
    <row r="909" spans="1:12" x14ac:dyDescent="0.3">
      <c r="A909" t="s">
        <v>1169</v>
      </c>
      <c r="B909" t="s">
        <v>36</v>
      </c>
      <c r="C909" t="s">
        <v>76</v>
      </c>
      <c r="D909" t="s">
        <v>32</v>
      </c>
      <c r="E909" t="s">
        <v>352</v>
      </c>
      <c r="F909" t="s">
        <v>40</v>
      </c>
      <c r="G909" t="s">
        <v>27</v>
      </c>
      <c r="H909" s="1">
        <v>45582</v>
      </c>
      <c r="I909" s="1">
        <v>45582</v>
      </c>
      <c r="J909">
        <f>Sheet1[[#This Row],[Close Date]]-Sheet1[[#This Row],[Open Date]]</f>
        <v>0</v>
      </c>
      <c r="K909" t="str">
        <f>IF(Sheet1[[#This Row],[Actual Days]]&gt;=1,"Not Met","Met")</f>
        <v>Met</v>
      </c>
      <c r="L909" t="str">
        <f>TEXT(Sheet1[[#This Row],[Open Date]],"mmm")</f>
        <v>Oct</v>
      </c>
    </row>
    <row r="910" spans="1:12" x14ac:dyDescent="0.3">
      <c r="A910" t="s">
        <v>1170</v>
      </c>
      <c r="B910" t="s">
        <v>36</v>
      </c>
      <c r="C910" t="s">
        <v>76</v>
      </c>
      <c r="D910" t="s">
        <v>38</v>
      </c>
      <c r="E910" t="s">
        <v>354</v>
      </c>
      <c r="F910" t="s">
        <v>40</v>
      </c>
      <c r="G910" t="s">
        <v>59</v>
      </c>
      <c r="H910" s="1">
        <v>45609</v>
      </c>
      <c r="I910" s="1">
        <v>45609</v>
      </c>
      <c r="J910">
        <f>Sheet1[[#This Row],[Close Date]]-Sheet1[[#This Row],[Open Date]]</f>
        <v>0</v>
      </c>
      <c r="K910" t="str">
        <f>IF(Sheet1[[#This Row],[Actual Days]]&gt;=1,"Not Met","Met")</f>
        <v>Met</v>
      </c>
      <c r="L910" t="str">
        <f>TEXT(Sheet1[[#This Row],[Open Date]],"mmm")</f>
        <v>Nov</v>
      </c>
    </row>
    <row r="911" spans="1:12" x14ac:dyDescent="0.3">
      <c r="A911" t="s">
        <v>1171</v>
      </c>
      <c r="B911" t="s">
        <v>42</v>
      </c>
      <c r="C911" t="s">
        <v>43</v>
      </c>
      <c r="D911" t="s">
        <v>87</v>
      </c>
      <c r="E911" t="s">
        <v>356</v>
      </c>
      <c r="F911" t="s">
        <v>26</v>
      </c>
      <c r="G911" t="s">
        <v>49</v>
      </c>
      <c r="H911" s="1">
        <v>45588</v>
      </c>
      <c r="I911" s="1">
        <v>45588</v>
      </c>
      <c r="J911">
        <f>Sheet1[[#This Row],[Close Date]]-Sheet1[[#This Row],[Open Date]]</f>
        <v>0</v>
      </c>
      <c r="K911" t="str">
        <f>IF(Sheet1[[#This Row],[Actual Days]]&gt;=1,"Not Met","Met")</f>
        <v>Met</v>
      </c>
      <c r="L911" t="str">
        <f>TEXT(Sheet1[[#This Row],[Open Date]],"mmm")</f>
        <v>Oct</v>
      </c>
    </row>
    <row r="912" spans="1:12" x14ac:dyDescent="0.3">
      <c r="A912" t="s">
        <v>1172</v>
      </c>
      <c r="B912" t="s">
        <v>13</v>
      </c>
      <c r="C912" t="s">
        <v>14</v>
      </c>
      <c r="D912" t="s">
        <v>15</v>
      </c>
      <c r="E912" t="s">
        <v>358</v>
      </c>
      <c r="F912" t="s">
        <v>40</v>
      </c>
      <c r="G912" t="s">
        <v>59</v>
      </c>
      <c r="H912" s="1">
        <v>45515</v>
      </c>
      <c r="I912" s="1">
        <v>45515</v>
      </c>
      <c r="J912">
        <f>Sheet1[[#This Row],[Close Date]]-Sheet1[[#This Row],[Open Date]]</f>
        <v>0</v>
      </c>
      <c r="K912" t="str">
        <f>IF(Sheet1[[#This Row],[Actual Days]]&gt;=1,"Not Met","Met")</f>
        <v>Met</v>
      </c>
      <c r="L912" t="str">
        <f>TEXT(Sheet1[[#This Row],[Open Date]],"mmm")</f>
        <v>Aug</v>
      </c>
    </row>
    <row r="913" spans="1:12" x14ac:dyDescent="0.3">
      <c r="A913" t="s">
        <v>1173</v>
      </c>
      <c r="B913" t="s">
        <v>36</v>
      </c>
      <c r="C913" t="s">
        <v>37</v>
      </c>
      <c r="D913" t="s">
        <v>156</v>
      </c>
      <c r="E913" t="s">
        <v>360</v>
      </c>
      <c r="F913" t="s">
        <v>17</v>
      </c>
      <c r="G913" t="s">
        <v>18</v>
      </c>
      <c r="H913" s="1">
        <v>45563</v>
      </c>
      <c r="I913" s="1">
        <v>45563</v>
      </c>
      <c r="J913">
        <f>Sheet1[[#This Row],[Close Date]]-Sheet1[[#This Row],[Open Date]]</f>
        <v>0</v>
      </c>
      <c r="K913" t="str">
        <f>IF(Sheet1[[#This Row],[Actual Days]]&gt;=1,"Not Met","Met")</f>
        <v>Met</v>
      </c>
      <c r="L913" t="str">
        <f>TEXT(Sheet1[[#This Row],[Open Date]],"mmm")</f>
        <v>Sep</v>
      </c>
    </row>
    <row r="914" spans="1:12" x14ac:dyDescent="0.3">
      <c r="A914" t="s">
        <v>1174</v>
      </c>
      <c r="B914" t="s">
        <v>22</v>
      </c>
      <c r="C914" t="s">
        <v>84</v>
      </c>
      <c r="D914" t="s">
        <v>87</v>
      </c>
      <c r="E914" t="s">
        <v>362</v>
      </c>
      <c r="F914" t="s">
        <v>17</v>
      </c>
      <c r="G914" t="s">
        <v>45</v>
      </c>
      <c r="H914" s="1">
        <v>45630</v>
      </c>
      <c r="I914" s="1">
        <v>45630</v>
      </c>
      <c r="J914">
        <f>Sheet1[[#This Row],[Close Date]]-Sheet1[[#This Row],[Open Date]]</f>
        <v>0</v>
      </c>
      <c r="K914" t="str">
        <f>IF(Sheet1[[#This Row],[Actual Days]]&gt;=1,"Not Met","Met")</f>
        <v>Met</v>
      </c>
      <c r="L914" t="str">
        <f>TEXT(Sheet1[[#This Row],[Open Date]],"mmm")</f>
        <v>Dec</v>
      </c>
    </row>
    <row r="915" spans="1:12" x14ac:dyDescent="0.3">
      <c r="A915" t="s">
        <v>1175</v>
      </c>
      <c r="B915" t="s">
        <v>42</v>
      </c>
      <c r="C915" t="s">
        <v>107</v>
      </c>
      <c r="D915" t="s">
        <v>38</v>
      </c>
      <c r="E915" t="s">
        <v>364</v>
      </c>
      <c r="F915" t="s">
        <v>26</v>
      </c>
      <c r="G915" t="s">
        <v>59</v>
      </c>
      <c r="H915" s="1">
        <v>45551</v>
      </c>
      <c r="I915" s="1">
        <v>45551</v>
      </c>
      <c r="J915">
        <f>Sheet1[[#This Row],[Close Date]]-Sheet1[[#This Row],[Open Date]]</f>
        <v>0</v>
      </c>
      <c r="K915" t="str">
        <f>IF(Sheet1[[#This Row],[Actual Days]]&gt;=1,"Not Met","Met")</f>
        <v>Met</v>
      </c>
      <c r="L915" t="str">
        <f>TEXT(Sheet1[[#This Row],[Open Date]],"mmm")</f>
        <v>Sep</v>
      </c>
    </row>
    <row r="916" spans="1:12" x14ac:dyDescent="0.3">
      <c r="A916" t="s">
        <v>1176</v>
      </c>
      <c r="B916" t="s">
        <v>36</v>
      </c>
      <c r="C916" t="s">
        <v>62</v>
      </c>
      <c r="D916" t="s">
        <v>38</v>
      </c>
      <c r="E916" t="s">
        <v>366</v>
      </c>
      <c r="F916" t="s">
        <v>26</v>
      </c>
      <c r="G916" t="s">
        <v>34</v>
      </c>
      <c r="H916" s="1">
        <v>45601</v>
      </c>
      <c r="I916" s="1">
        <v>45601</v>
      </c>
      <c r="J916">
        <f>Sheet1[[#This Row],[Close Date]]-Sheet1[[#This Row],[Open Date]]</f>
        <v>0</v>
      </c>
      <c r="K916" t="str">
        <f>IF(Sheet1[[#This Row],[Actual Days]]&gt;=1,"Not Met","Met")</f>
        <v>Met</v>
      </c>
      <c r="L916" t="str">
        <f>TEXT(Sheet1[[#This Row],[Open Date]],"mmm")</f>
        <v>Nov</v>
      </c>
    </row>
    <row r="917" spans="1:12" x14ac:dyDescent="0.3">
      <c r="A917" t="s">
        <v>1177</v>
      </c>
      <c r="B917" t="s">
        <v>42</v>
      </c>
      <c r="C917" t="s">
        <v>107</v>
      </c>
      <c r="D917" t="s">
        <v>15</v>
      </c>
      <c r="E917" t="s">
        <v>368</v>
      </c>
      <c r="F917" t="s">
        <v>40</v>
      </c>
      <c r="G917" t="s">
        <v>27</v>
      </c>
      <c r="H917" s="1">
        <v>45567</v>
      </c>
      <c r="I917" s="1">
        <v>45567</v>
      </c>
      <c r="J917">
        <f>Sheet1[[#This Row],[Close Date]]-Sheet1[[#This Row],[Open Date]]</f>
        <v>0</v>
      </c>
      <c r="K917" t="str">
        <f>IF(Sheet1[[#This Row],[Actual Days]]&gt;=1,"Not Met","Met")</f>
        <v>Met</v>
      </c>
      <c r="L917" t="str">
        <f>TEXT(Sheet1[[#This Row],[Open Date]],"mmm")</f>
        <v>Oct</v>
      </c>
    </row>
    <row r="918" spans="1:12" x14ac:dyDescent="0.3">
      <c r="A918" t="s">
        <v>1178</v>
      </c>
      <c r="B918" t="s">
        <v>36</v>
      </c>
      <c r="C918" t="s">
        <v>37</v>
      </c>
      <c r="D918" t="s">
        <v>24</v>
      </c>
      <c r="E918" t="s">
        <v>370</v>
      </c>
      <c r="F918" t="s">
        <v>40</v>
      </c>
      <c r="G918" t="s">
        <v>45</v>
      </c>
      <c r="H918" s="1">
        <v>45493</v>
      </c>
      <c r="I918" s="1">
        <v>45493</v>
      </c>
      <c r="J918">
        <f>Sheet1[[#This Row],[Close Date]]-Sheet1[[#This Row],[Open Date]]</f>
        <v>0</v>
      </c>
      <c r="K918" t="str">
        <f>IF(Sheet1[[#This Row],[Actual Days]]&gt;=1,"Not Met","Met")</f>
        <v>Met</v>
      </c>
      <c r="L918" t="str">
        <f>TEXT(Sheet1[[#This Row],[Open Date]],"mmm")</f>
        <v>Jul</v>
      </c>
    </row>
    <row r="919" spans="1:12" x14ac:dyDescent="0.3">
      <c r="A919" t="s">
        <v>1179</v>
      </c>
      <c r="B919" t="s">
        <v>13</v>
      </c>
      <c r="C919" t="s">
        <v>68</v>
      </c>
      <c r="D919" t="s">
        <v>15</v>
      </c>
      <c r="E919" t="s">
        <v>372</v>
      </c>
      <c r="F919" t="s">
        <v>26</v>
      </c>
      <c r="G919" t="s">
        <v>27</v>
      </c>
      <c r="H919" s="1">
        <v>45629</v>
      </c>
      <c r="I919" s="1">
        <v>45629</v>
      </c>
      <c r="J919">
        <f>Sheet1[[#This Row],[Close Date]]-Sheet1[[#This Row],[Open Date]]</f>
        <v>0</v>
      </c>
      <c r="K919" t="str">
        <f>IF(Sheet1[[#This Row],[Actual Days]]&gt;=1,"Not Met","Met")</f>
        <v>Met</v>
      </c>
      <c r="L919" t="str">
        <f>TEXT(Sheet1[[#This Row],[Open Date]],"mmm")</f>
        <v>Dec</v>
      </c>
    </row>
    <row r="920" spans="1:12" x14ac:dyDescent="0.3">
      <c r="A920" t="s">
        <v>1180</v>
      </c>
      <c r="B920" t="s">
        <v>13</v>
      </c>
      <c r="C920" t="s">
        <v>68</v>
      </c>
      <c r="D920" t="s">
        <v>87</v>
      </c>
      <c r="E920" t="s">
        <v>374</v>
      </c>
      <c r="F920" t="s">
        <v>17</v>
      </c>
      <c r="G920" t="s">
        <v>18</v>
      </c>
      <c r="H920" s="1">
        <v>45554</v>
      </c>
      <c r="I920" s="1">
        <v>45554</v>
      </c>
      <c r="J920">
        <f>Sheet1[[#This Row],[Close Date]]-Sheet1[[#This Row],[Open Date]]</f>
        <v>0</v>
      </c>
      <c r="K920" t="str">
        <f>IF(Sheet1[[#This Row],[Actual Days]]&gt;=1,"Not Met","Met")</f>
        <v>Met</v>
      </c>
      <c r="L920" t="str">
        <f>TEXT(Sheet1[[#This Row],[Open Date]],"mmm")</f>
        <v>Sep</v>
      </c>
    </row>
    <row r="921" spans="1:12" x14ac:dyDescent="0.3">
      <c r="A921" t="s">
        <v>1181</v>
      </c>
      <c r="B921" t="s">
        <v>13</v>
      </c>
      <c r="C921" t="s">
        <v>65</v>
      </c>
      <c r="D921" t="s">
        <v>38</v>
      </c>
      <c r="E921" t="s">
        <v>376</v>
      </c>
      <c r="F921" t="s">
        <v>17</v>
      </c>
      <c r="G921" t="s">
        <v>59</v>
      </c>
      <c r="H921" s="1">
        <v>45561</v>
      </c>
      <c r="I921" s="1">
        <v>45561</v>
      </c>
      <c r="J921">
        <f>Sheet1[[#This Row],[Close Date]]-Sheet1[[#This Row],[Open Date]]</f>
        <v>0</v>
      </c>
      <c r="K921" t="str">
        <f>IF(Sheet1[[#This Row],[Actual Days]]&gt;=1,"Not Met","Met")</f>
        <v>Met</v>
      </c>
      <c r="L921" t="str">
        <f>TEXT(Sheet1[[#This Row],[Open Date]],"mmm")</f>
        <v>Sep</v>
      </c>
    </row>
    <row r="922" spans="1:12" x14ac:dyDescent="0.3">
      <c r="A922" t="s">
        <v>1182</v>
      </c>
      <c r="B922" t="s">
        <v>30</v>
      </c>
      <c r="C922" t="s">
        <v>51</v>
      </c>
      <c r="D922" t="s">
        <v>32</v>
      </c>
      <c r="E922" t="s">
        <v>378</v>
      </c>
      <c r="F922" t="s">
        <v>17</v>
      </c>
      <c r="G922" t="s">
        <v>18</v>
      </c>
      <c r="H922" s="1">
        <v>45546</v>
      </c>
      <c r="I922" s="1">
        <v>45546</v>
      </c>
      <c r="J922">
        <f>Sheet1[[#This Row],[Close Date]]-Sheet1[[#This Row],[Open Date]]</f>
        <v>0</v>
      </c>
      <c r="K922" t="str">
        <f>IF(Sheet1[[#This Row],[Actual Days]]&gt;=1,"Not Met","Met")</f>
        <v>Met</v>
      </c>
      <c r="L922" t="str">
        <f>TEXT(Sheet1[[#This Row],[Open Date]],"mmm")</f>
        <v>Sep</v>
      </c>
    </row>
    <row r="923" spans="1:12" x14ac:dyDescent="0.3">
      <c r="A923" t="s">
        <v>1183</v>
      </c>
      <c r="B923" t="s">
        <v>22</v>
      </c>
      <c r="C923" t="s">
        <v>23</v>
      </c>
      <c r="D923" t="s">
        <v>15</v>
      </c>
      <c r="E923" t="s">
        <v>380</v>
      </c>
      <c r="F923" t="s">
        <v>40</v>
      </c>
      <c r="G923" t="s">
        <v>45</v>
      </c>
      <c r="H923" s="1">
        <v>45621</v>
      </c>
      <c r="I923" s="1">
        <v>45621</v>
      </c>
      <c r="J923">
        <f>Sheet1[[#This Row],[Close Date]]-Sheet1[[#This Row],[Open Date]]</f>
        <v>0</v>
      </c>
      <c r="K923" t="str">
        <f>IF(Sheet1[[#This Row],[Actual Days]]&gt;=1,"Not Met","Met")</f>
        <v>Met</v>
      </c>
      <c r="L923" t="str">
        <f>TEXT(Sheet1[[#This Row],[Open Date]],"mmm")</f>
        <v>Nov</v>
      </c>
    </row>
    <row r="924" spans="1:12" x14ac:dyDescent="0.3">
      <c r="A924" t="s">
        <v>1184</v>
      </c>
      <c r="B924" t="s">
        <v>30</v>
      </c>
      <c r="C924" t="s">
        <v>51</v>
      </c>
      <c r="D924" t="s">
        <v>15</v>
      </c>
      <c r="E924" t="s">
        <v>382</v>
      </c>
      <c r="F924" t="s">
        <v>40</v>
      </c>
      <c r="G924" t="s">
        <v>18</v>
      </c>
      <c r="H924" s="1">
        <v>45478</v>
      </c>
      <c r="I924" s="1">
        <v>45478</v>
      </c>
      <c r="J924">
        <f>Sheet1[[#This Row],[Close Date]]-Sheet1[[#This Row],[Open Date]]</f>
        <v>0</v>
      </c>
      <c r="K924" t="str">
        <f>IF(Sheet1[[#This Row],[Actual Days]]&gt;=1,"Not Met","Met")</f>
        <v>Met</v>
      </c>
      <c r="L924" t="str">
        <f>TEXT(Sheet1[[#This Row],[Open Date]],"mmm")</f>
        <v>Jul</v>
      </c>
    </row>
    <row r="925" spans="1:12" x14ac:dyDescent="0.3">
      <c r="A925" t="s">
        <v>1185</v>
      </c>
      <c r="B925" t="s">
        <v>42</v>
      </c>
      <c r="C925" t="s">
        <v>107</v>
      </c>
      <c r="D925" t="s">
        <v>38</v>
      </c>
      <c r="E925" t="s">
        <v>384</v>
      </c>
      <c r="F925" t="s">
        <v>40</v>
      </c>
      <c r="G925" t="s">
        <v>34</v>
      </c>
      <c r="H925" s="1">
        <v>45486</v>
      </c>
      <c r="I925" s="1">
        <v>45486</v>
      </c>
      <c r="J925">
        <f>Sheet1[[#This Row],[Close Date]]-Sheet1[[#This Row],[Open Date]]</f>
        <v>0</v>
      </c>
      <c r="K925" t="str">
        <f>IF(Sheet1[[#This Row],[Actual Days]]&gt;=1,"Not Met","Met")</f>
        <v>Met</v>
      </c>
      <c r="L925" t="str">
        <f>TEXT(Sheet1[[#This Row],[Open Date]],"mmm")</f>
        <v>Jul</v>
      </c>
    </row>
    <row r="926" spans="1:12" x14ac:dyDescent="0.3">
      <c r="A926" t="s">
        <v>1186</v>
      </c>
      <c r="B926" t="s">
        <v>22</v>
      </c>
      <c r="C926" t="s">
        <v>101</v>
      </c>
      <c r="D926" t="s">
        <v>73</v>
      </c>
      <c r="E926" t="s">
        <v>386</v>
      </c>
      <c r="F926" t="s">
        <v>40</v>
      </c>
      <c r="G926" t="s">
        <v>59</v>
      </c>
      <c r="H926" s="1">
        <v>45586</v>
      </c>
      <c r="I926" s="1">
        <v>45586</v>
      </c>
      <c r="J926">
        <f>Sheet1[[#This Row],[Close Date]]-Sheet1[[#This Row],[Open Date]]</f>
        <v>0</v>
      </c>
      <c r="K926" t="str">
        <f>IF(Sheet1[[#This Row],[Actual Days]]&gt;=1,"Not Met","Met")</f>
        <v>Met</v>
      </c>
      <c r="L926" t="str">
        <f>TEXT(Sheet1[[#This Row],[Open Date]],"mmm")</f>
        <v>Oct</v>
      </c>
    </row>
    <row r="927" spans="1:12" x14ac:dyDescent="0.3">
      <c r="A927" t="s">
        <v>1187</v>
      </c>
      <c r="B927" t="s">
        <v>36</v>
      </c>
      <c r="C927" t="s">
        <v>37</v>
      </c>
      <c r="D927" t="s">
        <v>38</v>
      </c>
      <c r="E927" t="s">
        <v>388</v>
      </c>
      <c r="F927" t="s">
        <v>26</v>
      </c>
      <c r="G927" t="s">
        <v>34</v>
      </c>
      <c r="H927" s="1">
        <v>45582</v>
      </c>
      <c r="I927" s="1">
        <v>45582</v>
      </c>
      <c r="J927">
        <f>Sheet1[[#This Row],[Close Date]]-Sheet1[[#This Row],[Open Date]]</f>
        <v>0</v>
      </c>
      <c r="K927" t="str">
        <f>IF(Sheet1[[#This Row],[Actual Days]]&gt;=1,"Not Met","Met")</f>
        <v>Met</v>
      </c>
      <c r="L927" t="str">
        <f>TEXT(Sheet1[[#This Row],[Open Date]],"mmm")</f>
        <v>Oct</v>
      </c>
    </row>
    <row r="928" spans="1:12" x14ac:dyDescent="0.3">
      <c r="A928" t="s">
        <v>1188</v>
      </c>
      <c r="B928" t="s">
        <v>30</v>
      </c>
      <c r="C928" t="s">
        <v>51</v>
      </c>
      <c r="D928" t="s">
        <v>38</v>
      </c>
      <c r="E928" t="s">
        <v>390</v>
      </c>
      <c r="F928" t="s">
        <v>17</v>
      </c>
      <c r="G928" t="s">
        <v>59</v>
      </c>
      <c r="H928" s="1">
        <v>45565</v>
      </c>
      <c r="I928" s="1">
        <v>45565</v>
      </c>
      <c r="J928">
        <f>Sheet1[[#This Row],[Close Date]]-Sheet1[[#This Row],[Open Date]]</f>
        <v>0</v>
      </c>
      <c r="K928" t="str">
        <f>IF(Sheet1[[#This Row],[Actual Days]]&gt;=1,"Not Met","Met")</f>
        <v>Met</v>
      </c>
      <c r="L928" t="str">
        <f>TEXT(Sheet1[[#This Row],[Open Date]],"mmm")</f>
        <v>Sep</v>
      </c>
    </row>
    <row r="929" spans="1:12" x14ac:dyDescent="0.3">
      <c r="A929" t="s">
        <v>1189</v>
      </c>
      <c r="B929" t="s">
        <v>22</v>
      </c>
      <c r="C929" t="s">
        <v>23</v>
      </c>
      <c r="D929" t="s">
        <v>32</v>
      </c>
      <c r="E929" t="s">
        <v>392</v>
      </c>
      <c r="F929" t="s">
        <v>17</v>
      </c>
      <c r="G929" t="s">
        <v>27</v>
      </c>
      <c r="H929" s="1">
        <v>45525</v>
      </c>
      <c r="I929" s="1">
        <v>45525</v>
      </c>
      <c r="J929">
        <f>Sheet1[[#This Row],[Close Date]]-Sheet1[[#This Row],[Open Date]]</f>
        <v>0</v>
      </c>
      <c r="K929" t="str">
        <f>IF(Sheet1[[#This Row],[Actual Days]]&gt;=1,"Not Met","Met")</f>
        <v>Met</v>
      </c>
      <c r="L929" t="str">
        <f>TEXT(Sheet1[[#This Row],[Open Date]],"mmm")</f>
        <v>Aug</v>
      </c>
    </row>
    <row r="930" spans="1:12" x14ac:dyDescent="0.3">
      <c r="A930" t="s">
        <v>1190</v>
      </c>
      <c r="B930" t="s">
        <v>22</v>
      </c>
      <c r="C930" t="s">
        <v>23</v>
      </c>
      <c r="D930" t="s">
        <v>15</v>
      </c>
      <c r="E930" t="s">
        <v>394</v>
      </c>
      <c r="F930" t="s">
        <v>26</v>
      </c>
      <c r="G930" t="s">
        <v>27</v>
      </c>
      <c r="H930" s="1">
        <v>45528</v>
      </c>
      <c r="I930" s="1">
        <v>45528</v>
      </c>
      <c r="J930">
        <f>Sheet1[[#This Row],[Close Date]]-Sheet1[[#This Row],[Open Date]]</f>
        <v>0</v>
      </c>
      <c r="K930" t="str">
        <f>IF(Sheet1[[#This Row],[Actual Days]]&gt;=1,"Not Met","Met")</f>
        <v>Met</v>
      </c>
      <c r="L930" t="str">
        <f>TEXT(Sheet1[[#This Row],[Open Date]],"mmm")</f>
        <v>Aug</v>
      </c>
    </row>
    <row r="931" spans="1:12" x14ac:dyDescent="0.3">
      <c r="A931" t="s">
        <v>1191</v>
      </c>
      <c r="B931" t="s">
        <v>36</v>
      </c>
      <c r="C931" t="s">
        <v>37</v>
      </c>
      <c r="D931" t="s">
        <v>32</v>
      </c>
      <c r="E931" t="s">
        <v>396</v>
      </c>
      <c r="F931" t="s">
        <v>17</v>
      </c>
      <c r="G931" t="s">
        <v>34</v>
      </c>
      <c r="H931" s="1">
        <v>45489</v>
      </c>
      <c r="I931" s="1">
        <v>45489</v>
      </c>
      <c r="J931">
        <f>Sheet1[[#This Row],[Close Date]]-Sheet1[[#This Row],[Open Date]]</f>
        <v>0</v>
      </c>
      <c r="K931" t="str">
        <f>IF(Sheet1[[#This Row],[Actual Days]]&gt;=1,"Not Met","Met")</f>
        <v>Met</v>
      </c>
      <c r="L931" t="str">
        <f>TEXT(Sheet1[[#This Row],[Open Date]],"mmm")</f>
        <v>Jul</v>
      </c>
    </row>
    <row r="932" spans="1:12" x14ac:dyDescent="0.3">
      <c r="A932" t="s">
        <v>1192</v>
      </c>
      <c r="B932" t="s">
        <v>13</v>
      </c>
      <c r="C932" t="s">
        <v>65</v>
      </c>
      <c r="D932" t="s">
        <v>38</v>
      </c>
      <c r="E932" t="s">
        <v>398</v>
      </c>
      <c r="F932" t="s">
        <v>40</v>
      </c>
      <c r="G932" t="s">
        <v>27</v>
      </c>
      <c r="H932" s="1">
        <v>45487</v>
      </c>
      <c r="I932" s="1">
        <v>45487</v>
      </c>
      <c r="J932">
        <f>Sheet1[[#This Row],[Close Date]]-Sheet1[[#This Row],[Open Date]]</f>
        <v>0</v>
      </c>
      <c r="K932" t="str">
        <f>IF(Sheet1[[#This Row],[Actual Days]]&gt;=1,"Not Met","Met")</f>
        <v>Met</v>
      </c>
      <c r="L932" t="str">
        <f>TEXT(Sheet1[[#This Row],[Open Date]],"mmm")</f>
        <v>Jul</v>
      </c>
    </row>
    <row r="933" spans="1:12" x14ac:dyDescent="0.3">
      <c r="A933" t="s">
        <v>1193</v>
      </c>
      <c r="B933" t="s">
        <v>42</v>
      </c>
      <c r="C933" t="s">
        <v>104</v>
      </c>
      <c r="D933" t="s">
        <v>156</v>
      </c>
      <c r="E933" t="s">
        <v>400</v>
      </c>
      <c r="F933" t="s">
        <v>26</v>
      </c>
      <c r="G933" t="s">
        <v>34</v>
      </c>
      <c r="H933" s="1">
        <v>45654</v>
      </c>
      <c r="I933" s="1">
        <v>45654</v>
      </c>
      <c r="J933">
        <f>Sheet1[[#This Row],[Close Date]]-Sheet1[[#This Row],[Open Date]]</f>
        <v>0</v>
      </c>
      <c r="K933" t="str">
        <f>IF(Sheet1[[#This Row],[Actual Days]]&gt;=1,"Not Met","Met")</f>
        <v>Met</v>
      </c>
      <c r="L933" t="str">
        <f>TEXT(Sheet1[[#This Row],[Open Date]],"mmm")</f>
        <v>Dec</v>
      </c>
    </row>
    <row r="934" spans="1:12" x14ac:dyDescent="0.3">
      <c r="A934" t="s">
        <v>1194</v>
      </c>
      <c r="B934" t="s">
        <v>42</v>
      </c>
      <c r="C934" t="s">
        <v>43</v>
      </c>
      <c r="D934" t="s">
        <v>73</v>
      </c>
      <c r="E934" t="s">
        <v>402</v>
      </c>
      <c r="F934" t="s">
        <v>26</v>
      </c>
      <c r="G934" t="s">
        <v>27</v>
      </c>
      <c r="H934" s="1">
        <v>45634</v>
      </c>
      <c r="I934" s="1">
        <v>45634</v>
      </c>
      <c r="J934">
        <f>Sheet1[[#This Row],[Close Date]]-Sheet1[[#This Row],[Open Date]]</f>
        <v>0</v>
      </c>
      <c r="K934" t="str">
        <f>IF(Sheet1[[#This Row],[Actual Days]]&gt;=1,"Not Met","Met")</f>
        <v>Met</v>
      </c>
      <c r="L934" t="str">
        <f>TEXT(Sheet1[[#This Row],[Open Date]],"mmm")</f>
        <v>Dec</v>
      </c>
    </row>
    <row r="935" spans="1:12" x14ac:dyDescent="0.3">
      <c r="A935" t="s">
        <v>1195</v>
      </c>
      <c r="B935" t="s">
        <v>13</v>
      </c>
      <c r="C935" t="s">
        <v>14</v>
      </c>
      <c r="D935" t="s">
        <v>24</v>
      </c>
      <c r="E935" t="s">
        <v>404</v>
      </c>
      <c r="F935" t="s">
        <v>17</v>
      </c>
      <c r="G935" t="s">
        <v>34</v>
      </c>
      <c r="H935" s="1">
        <v>45626</v>
      </c>
      <c r="I935" s="1">
        <v>45626</v>
      </c>
      <c r="J935">
        <f>Sheet1[[#This Row],[Close Date]]-Sheet1[[#This Row],[Open Date]]</f>
        <v>0</v>
      </c>
      <c r="K935" t="str">
        <f>IF(Sheet1[[#This Row],[Actual Days]]&gt;=1,"Not Met","Met")</f>
        <v>Met</v>
      </c>
      <c r="L935" t="str">
        <f>TEXT(Sheet1[[#This Row],[Open Date]],"mmm")</f>
        <v>Nov</v>
      </c>
    </row>
    <row r="936" spans="1:12" x14ac:dyDescent="0.3">
      <c r="A936" t="s">
        <v>1196</v>
      </c>
      <c r="B936" t="s">
        <v>22</v>
      </c>
      <c r="C936" t="s">
        <v>84</v>
      </c>
      <c r="D936" t="s">
        <v>73</v>
      </c>
      <c r="E936" t="s">
        <v>406</v>
      </c>
      <c r="F936" t="s">
        <v>40</v>
      </c>
      <c r="G936" t="s">
        <v>49</v>
      </c>
      <c r="H936" s="1">
        <v>45565</v>
      </c>
      <c r="I936" s="1">
        <v>45565</v>
      </c>
      <c r="J936">
        <f>Sheet1[[#This Row],[Close Date]]-Sheet1[[#This Row],[Open Date]]</f>
        <v>0</v>
      </c>
      <c r="K936" t="str">
        <f>IF(Sheet1[[#This Row],[Actual Days]]&gt;=1,"Not Met","Met")</f>
        <v>Met</v>
      </c>
      <c r="L936" t="str">
        <f>TEXT(Sheet1[[#This Row],[Open Date]],"mmm")</f>
        <v>Sep</v>
      </c>
    </row>
    <row r="937" spans="1:12" x14ac:dyDescent="0.3">
      <c r="A937" t="s">
        <v>1197</v>
      </c>
      <c r="B937" t="s">
        <v>13</v>
      </c>
      <c r="C937" t="s">
        <v>68</v>
      </c>
      <c r="D937" t="s">
        <v>38</v>
      </c>
      <c r="E937" t="s">
        <v>408</v>
      </c>
      <c r="F937" t="s">
        <v>26</v>
      </c>
      <c r="G937" t="s">
        <v>49</v>
      </c>
      <c r="H937" s="1">
        <v>45618</v>
      </c>
      <c r="I937" s="1">
        <v>45618</v>
      </c>
      <c r="J937">
        <f>Sheet1[[#This Row],[Close Date]]-Sheet1[[#This Row],[Open Date]]</f>
        <v>0</v>
      </c>
      <c r="K937" t="str">
        <f>IF(Sheet1[[#This Row],[Actual Days]]&gt;=1,"Not Met","Met")</f>
        <v>Met</v>
      </c>
      <c r="L937" t="str">
        <f>TEXT(Sheet1[[#This Row],[Open Date]],"mmm")</f>
        <v>Nov</v>
      </c>
    </row>
    <row r="938" spans="1:12" x14ac:dyDescent="0.3">
      <c r="A938" t="s">
        <v>1198</v>
      </c>
      <c r="B938" t="s">
        <v>42</v>
      </c>
      <c r="C938" t="s">
        <v>107</v>
      </c>
      <c r="D938" t="s">
        <v>156</v>
      </c>
      <c r="E938" t="s">
        <v>410</v>
      </c>
      <c r="F938" t="s">
        <v>40</v>
      </c>
      <c r="G938" t="s">
        <v>49</v>
      </c>
      <c r="H938" s="1">
        <v>45510</v>
      </c>
      <c r="I938" s="1">
        <v>45511</v>
      </c>
      <c r="J938">
        <f>Sheet1[[#This Row],[Close Date]]-Sheet1[[#This Row],[Open Date]]</f>
        <v>1</v>
      </c>
      <c r="K938" t="str">
        <f>IF(Sheet1[[#This Row],[Actual Days]]&gt;=1,"Not Met","Met")</f>
        <v>Not Met</v>
      </c>
      <c r="L938" t="str">
        <f>TEXT(Sheet1[[#This Row],[Open Date]],"mmm")</f>
        <v>Aug</v>
      </c>
    </row>
    <row r="939" spans="1:12" x14ac:dyDescent="0.3">
      <c r="A939" t="s">
        <v>1199</v>
      </c>
      <c r="B939" t="s">
        <v>22</v>
      </c>
      <c r="C939" t="s">
        <v>101</v>
      </c>
      <c r="D939" t="s">
        <v>38</v>
      </c>
      <c r="E939" t="s">
        <v>412</v>
      </c>
      <c r="F939" t="s">
        <v>26</v>
      </c>
      <c r="G939" t="s">
        <v>18</v>
      </c>
      <c r="H939" s="1">
        <v>45507</v>
      </c>
      <c r="I939" s="1">
        <v>45507</v>
      </c>
      <c r="J939">
        <f>Sheet1[[#This Row],[Close Date]]-Sheet1[[#This Row],[Open Date]]</f>
        <v>0</v>
      </c>
      <c r="K939" t="str">
        <f>IF(Sheet1[[#This Row],[Actual Days]]&gt;=1,"Not Met","Met")</f>
        <v>Met</v>
      </c>
      <c r="L939" t="str">
        <f>TEXT(Sheet1[[#This Row],[Open Date]],"mmm")</f>
        <v>Aug</v>
      </c>
    </row>
    <row r="940" spans="1:12" x14ac:dyDescent="0.3">
      <c r="A940" t="s">
        <v>1200</v>
      </c>
      <c r="B940" t="s">
        <v>30</v>
      </c>
      <c r="C940" t="s">
        <v>31</v>
      </c>
      <c r="D940" t="s">
        <v>38</v>
      </c>
      <c r="E940" t="s">
        <v>414</v>
      </c>
      <c r="F940" t="s">
        <v>40</v>
      </c>
      <c r="G940" t="s">
        <v>18</v>
      </c>
      <c r="H940" s="1">
        <v>45585</v>
      </c>
      <c r="I940" s="1">
        <v>45585</v>
      </c>
      <c r="J940">
        <f>Sheet1[[#This Row],[Close Date]]-Sheet1[[#This Row],[Open Date]]</f>
        <v>0</v>
      </c>
      <c r="K940" t="str">
        <f>IF(Sheet1[[#This Row],[Actual Days]]&gt;=1,"Not Met","Met")</f>
        <v>Met</v>
      </c>
      <c r="L940" t="str">
        <f>TEXT(Sheet1[[#This Row],[Open Date]],"mmm")</f>
        <v>Oct</v>
      </c>
    </row>
    <row r="941" spans="1:12" x14ac:dyDescent="0.3">
      <c r="A941" t="s">
        <v>1201</v>
      </c>
      <c r="B941" t="s">
        <v>30</v>
      </c>
      <c r="C941" t="s">
        <v>31</v>
      </c>
      <c r="D941" t="s">
        <v>24</v>
      </c>
      <c r="E941" t="s">
        <v>416</v>
      </c>
      <c r="F941" t="s">
        <v>40</v>
      </c>
      <c r="G941" t="s">
        <v>27</v>
      </c>
      <c r="H941" s="1">
        <v>45615</v>
      </c>
      <c r="I941" s="1">
        <v>45615</v>
      </c>
      <c r="J941">
        <f>Sheet1[[#This Row],[Close Date]]-Sheet1[[#This Row],[Open Date]]</f>
        <v>0</v>
      </c>
      <c r="K941" t="str">
        <f>IF(Sheet1[[#This Row],[Actual Days]]&gt;=1,"Not Met","Met")</f>
        <v>Met</v>
      </c>
      <c r="L941" t="str">
        <f>TEXT(Sheet1[[#This Row],[Open Date]],"mmm")</f>
        <v>Nov</v>
      </c>
    </row>
    <row r="942" spans="1:12" x14ac:dyDescent="0.3">
      <c r="A942" t="s">
        <v>1202</v>
      </c>
      <c r="B942" t="s">
        <v>30</v>
      </c>
      <c r="C942" t="s">
        <v>51</v>
      </c>
      <c r="D942" t="s">
        <v>87</v>
      </c>
      <c r="E942" t="s">
        <v>418</v>
      </c>
      <c r="F942" t="s">
        <v>26</v>
      </c>
      <c r="G942" t="s">
        <v>49</v>
      </c>
      <c r="H942" s="1">
        <v>45518</v>
      </c>
      <c r="I942" s="1">
        <v>45518</v>
      </c>
      <c r="J942">
        <f>Sheet1[[#This Row],[Close Date]]-Sheet1[[#This Row],[Open Date]]</f>
        <v>0</v>
      </c>
      <c r="K942" t="str">
        <f>IF(Sheet1[[#This Row],[Actual Days]]&gt;=1,"Not Met","Met")</f>
        <v>Met</v>
      </c>
      <c r="L942" t="str">
        <f>TEXT(Sheet1[[#This Row],[Open Date]],"mmm")</f>
        <v>Aug</v>
      </c>
    </row>
    <row r="943" spans="1:12" x14ac:dyDescent="0.3">
      <c r="A943" t="s">
        <v>1203</v>
      </c>
      <c r="B943" t="s">
        <v>42</v>
      </c>
      <c r="C943" t="s">
        <v>43</v>
      </c>
      <c r="D943" t="s">
        <v>38</v>
      </c>
      <c r="E943" t="s">
        <v>420</v>
      </c>
      <c r="F943" t="s">
        <v>40</v>
      </c>
      <c r="G943" t="s">
        <v>18</v>
      </c>
      <c r="H943" s="1">
        <v>45474</v>
      </c>
      <c r="I943" s="1">
        <v>45474</v>
      </c>
      <c r="J943">
        <f>Sheet1[[#This Row],[Close Date]]-Sheet1[[#This Row],[Open Date]]</f>
        <v>0</v>
      </c>
      <c r="K943" t="str">
        <f>IF(Sheet1[[#This Row],[Actual Days]]&gt;=1,"Not Met","Met")</f>
        <v>Met</v>
      </c>
      <c r="L943" t="str">
        <f>TEXT(Sheet1[[#This Row],[Open Date]],"mmm")</f>
        <v>Jul</v>
      </c>
    </row>
    <row r="944" spans="1:12" x14ac:dyDescent="0.3">
      <c r="A944" t="s">
        <v>1204</v>
      </c>
      <c r="B944" t="s">
        <v>30</v>
      </c>
      <c r="C944" t="s">
        <v>161</v>
      </c>
      <c r="D944" t="s">
        <v>94</v>
      </c>
      <c r="E944" t="s">
        <v>422</v>
      </c>
      <c r="F944" t="s">
        <v>17</v>
      </c>
      <c r="G944" t="s">
        <v>18</v>
      </c>
      <c r="H944" s="1">
        <v>45628</v>
      </c>
      <c r="I944" s="1">
        <v>45628</v>
      </c>
      <c r="J944">
        <f>Sheet1[[#This Row],[Close Date]]-Sheet1[[#This Row],[Open Date]]</f>
        <v>0</v>
      </c>
      <c r="K944" t="str">
        <f>IF(Sheet1[[#This Row],[Actual Days]]&gt;=1,"Not Met","Met")</f>
        <v>Met</v>
      </c>
      <c r="L944" t="str">
        <f>TEXT(Sheet1[[#This Row],[Open Date]],"mmm")</f>
        <v>Dec</v>
      </c>
    </row>
    <row r="945" spans="1:12" x14ac:dyDescent="0.3">
      <c r="A945" t="s">
        <v>1205</v>
      </c>
      <c r="B945" t="s">
        <v>36</v>
      </c>
      <c r="C945" t="s">
        <v>62</v>
      </c>
      <c r="D945" t="s">
        <v>73</v>
      </c>
      <c r="E945" t="s">
        <v>424</v>
      </c>
      <c r="F945" t="s">
        <v>40</v>
      </c>
      <c r="G945" t="s">
        <v>34</v>
      </c>
      <c r="H945" s="1">
        <v>45522</v>
      </c>
      <c r="I945" s="1">
        <v>45522</v>
      </c>
      <c r="J945">
        <f>Sheet1[[#This Row],[Close Date]]-Sheet1[[#This Row],[Open Date]]</f>
        <v>0</v>
      </c>
      <c r="K945" t="str">
        <f>IF(Sheet1[[#This Row],[Actual Days]]&gt;=1,"Not Met","Met")</f>
        <v>Met</v>
      </c>
      <c r="L945" t="str">
        <f>TEXT(Sheet1[[#This Row],[Open Date]],"mmm")</f>
        <v>Aug</v>
      </c>
    </row>
    <row r="946" spans="1:12" x14ac:dyDescent="0.3">
      <c r="A946" t="s">
        <v>1206</v>
      </c>
      <c r="B946" t="s">
        <v>36</v>
      </c>
      <c r="C946" t="s">
        <v>37</v>
      </c>
      <c r="D946" t="s">
        <v>38</v>
      </c>
      <c r="E946" t="s">
        <v>426</v>
      </c>
      <c r="F946" t="s">
        <v>40</v>
      </c>
      <c r="G946" t="s">
        <v>45</v>
      </c>
      <c r="H946" s="1">
        <v>45525</v>
      </c>
      <c r="I946" s="1">
        <v>45525</v>
      </c>
      <c r="J946">
        <f>Sheet1[[#This Row],[Close Date]]-Sheet1[[#This Row],[Open Date]]</f>
        <v>0</v>
      </c>
      <c r="K946" t="str">
        <f>IF(Sheet1[[#This Row],[Actual Days]]&gt;=1,"Not Met","Met")</f>
        <v>Met</v>
      </c>
      <c r="L946" t="str">
        <f>TEXT(Sheet1[[#This Row],[Open Date]],"mmm")</f>
        <v>Aug</v>
      </c>
    </row>
    <row r="947" spans="1:12" x14ac:dyDescent="0.3">
      <c r="A947" t="s">
        <v>1207</v>
      </c>
      <c r="B947" t="s">
        <v>13</v>
      </c>
      <c r="C947" t="s">
        <v>65</v>
      </c>
      <c r="D947" t="s">
        <v>15</v>
      </c>
      <c r="E947" t="s">
        <v>428</v>
      </c>
      <c r="F947" t="s">
        <v>17</v>
      </c>
      <c r="G947" t="s">
        <v>34</v>
      </c>
      <c r="H947" s="1">
        <v>45564</v>
      </c>
      <c r="I947" s="1">
        <v>45564</v>
      </c>
      <c r="J947">
        <f>Sheet1[[#This Row],[Close Date]]-Sheet1[[#This Row],[Open Date]]</f>
        <v>0</v>
      </c>
      <c r="K947" t="str">
        <f>IF(Sheet1[[#This Row],[Actual Days]]&gt;=1,"Not Met","Met")</f>
        <v>Met</v>
      </c>
      <c r="L947" t="str">
        <f>TEXT(Sheet1[[#This Row],[Open Date]],"mmm")</f>
        <v>Sep</v>
      </c>
    </row>
    <row r="948" spans="1:12" x14ac:dyDescent="0.3">
      <c r="A948" t="s">
        <v>1208</v>
      </c>
      <c r="B948" t="s">
        <v>22</v>
      </c>
      <c r="C948" t="s">
        <v>23</v>
      </c>
      <c r="D948" t="s">
        <v>24</v>
      </c>
      <c r="E948" t="s">
        <v>430</v>
      </c>
      <c r="F948" t="s">
        <v>26</v>
      </c>
      <c r="G948" t="s">
        <v>18</v>
      </c>
      <c r="H948" s="1">
        <v>45565</v>
      </c>
      <c r="I948" s="1">
        <v>45565</v>
      </c>
      <c r="J948">
        <f>Sheet1[[#This Row],[Close Date]]-Sheet1[[#This Row],[Open Date]]</f>
        <v>0</v>
      </c>
      <c r="K948" t="str">
        <f>IF(Sheet1[[#This Row],[Actual Days]]&gt;=1,"Not Met","Met")</f>
        <v>Met</v>
      </c>
      <c r="L948" t="str">
        <f>TEXT(Sheet1[[#This Row],[Open Date]],"mmm")</f>
        <v>Sep</v>
      </c>
    </row>
    <row r="949" spans="1:12" x14ac:dyDescent="0.3">
      <c r="A949" t="s">
        <v>1209</v>
      </c>
      <c r="B949" t="s">
        <v>36</v>
      </c>
      <c r="C949" t="s">
        <v>62</v>
      </c>
      <c r="D949" t="s">
        <v>24</v>
      </c>
      <c r="E949" t="s">
        <v>432</v>
      </c>
      <c r="F949" t="s">
        <v>40</v>
      </c>
      <c r="G949" t="s">
        <v>59</v>
      </c>
      <c r="H949" s="1">
        <v>45633</v>
      </c>
      <c r="I949" s="1">
        <v>45633</v>
      </c>
      <c r="J949">
        <f>Sheet1[[#This Row],[Close Date]]-Sheet1[[#This Row],[Open Date]]</f>
        <v>0</v>
      </c>
      <c r="K949" t="str">
        <f>IF(Sheet1[[#This Row],[Actual Days]]&gt;=1,"Not Met","Met")</f>
        <v>Met</v>
      </c>
      <c r="L949" t="str">
        <f>TEXT(Sheet1[[#This Row],[Open Date]],"mmm")</f>
        <v>Dec</v>
      </c>
    </row>
    <row r="950" spans="1:12" x14ac:dyDescent="0.3">
      <c r="A950" t="s">
        <v>1210</v>
      </c>
      <c r="B950" t="s">
        <v>13</v>
      </c>
      <c r="C950" t="s">
        <v>14</v>
      </c>
      <c r="D950" t="s">
        <v>38</v>
      </c>
      <c r="E950" t="s">
        <v>434</v>
      </c>
      <c r="F950" t="s">
        <v>26</v>
      </c>
      <c r="G950" t="s">
        <v>27</v>
      </c>
      <c r="H950" s="1">
        <v>45510</v>
      </c>
      <c r="I950" s="1">
        <v>45510</v>
      </c>
      <c r="J950">
        <f>Sheet1[[#This Row],[Close Date]]-Sheet1[[#This Row],[Open Date]]</f>
        <v>0</v>
      </c>
      <c r="K950" t="str">
        <f>IF(Sheet1[[#This Row],[Actual Days]]&gt;=1,"Not Met","Met")</f>
        <v>Met</v>
      </c>
      <c r="L950" t="str">
        <f>TEXT(Sheet1[[#This Row],[Open Date]],"mmm")</f>
        <v>Aug</v>
      </c>
    </row>
    <row r="951" spans="1:12" x14ac:dyDescent="0.3">
      <c r="A951" t="s">
        <v>1211</v>
      </c>
      <c r="B951" t="s">
        <v>30</v>
      </c>
      <c r="C951" t="s">
        <v>51</v>
      </c>
      <c r="D951" t="s">
        <v>73</v>
      </c>
      <c r="E951" t="s">
        <v>436</v>
      </c>
      <c r="F951" t="s">
        <v>40</v>
      </c>
      <c r="G951" t="s">
        <v>34</v>
      </c>
      <c r="H951" s="1">
        <v>45633</v>
      </c>
      <c r="I951" s="1">
        <v>45633</v>
      </c>
      <c r="J951">
        <f>Sheet1[[#This Row],[Close Date]]-Sheet1[[#This Row],[Open Date]]</f>
        <v>0</v>
      </c>
      <c r="K951" t="str">
        <f>IF(Sheet1[[#This Row],[Actual Days]]&gt;=1,"Not Met","Met")</f>
        <v>Met</v>
      </c>
      <c r="L951" t="str">
        <f>TEXT(Sheet1[[#This Row],[Open Date]],"mmm")</f>
        <v>Dec</v>
      </c>
    </row>
    <row r="952" spans="1:12" x14ac:dyDescent="0.3">
      <c r="A952" t="s">
        <v>1212</v>
      </c>
      <c r="B952" t="s">
        <v>30</v>
      </c>
      <c r="C952" t="s">
        <v>31</v>
      </c>
      <c r="D952" t="s">
        <v>38</v>
      </c>
      <c r="E952" t="s">
        <v>438</v>
      </c>
      <c r="F952" t="s">
        <v>26</v>
      </c>
      <c r="G952" t="s">
        <v>49</v>
      </c>
      <c r="H952" s="1">
        <v>45474</v>
      </c>
      <c r="I952" s="1">
        <v>45474</v>
      </c>
      <c r="J952">
        <f>Sheet1[[#This Row],[Close Date]]-Sheet1[[#This Row],[Open Date]]</f>
        <v>0</v>
      </c>
      <c r="K952" t="str">
        <f>IF(Sheet1[[#This Row],[Actual Days]]&gt;=1,"Not Met","Met")</f>
        <v>Met</v>
      </c>
      <c r="L952" t="str">
        <f>TEXT(Sheet1[[#This Row],[Open Date]],"mmm")</f>
        <v>Jul</v>
      </c>
    </row>
    <row r="953" spans="1:12" x14ac:dyDescent="0.3">
      <c r="A953" t="s">
        <v>1213</v>
      </c>
      <c r="B953" t="s">
        <v>36</v>
      </c>
      <c r="C953" t="s">
        <v>76</v>
      </c>
      <c r="D953" t="s">
        <v>15</v>
      </c>
      <c r="E953" t="s">
        <v>440</v>
      </c>
      <c r="F953" t="s">
        <v>26</v>
      </c>
      <c r="G953" t="s">
        <v>49</v>
      </c>
      <c r="H953" s="1">
        <v>45538</v>
      </c>
      <c r="I953" s="1">
        <v>45538</v>
      </c>
      <c r="J953">
        <f>Sheet1[[#This Row],[Close Date]]-Sheet1[[#This Row],[Open Date]]</f>
        <v>0</v>
      </c>
      <c r="K953" t="str">
        <f>IF(Sheet1[[#This Row],[Actual Days]]&gt;=1,"Not Met","Met")</f>
        <v>Met</v>
      </c>
      <c r="L953" t="str">
        <f>TEXT(Sheet1[[#This Row],[Open Date]],"mmm")</f>
        <v>Sep</v>
      </c>
    </row>
    <row r="954" spans="1:12" x14ac:dyDescent="0.3">
      <c r="A954" t="s">
        <v>1214</v>
      </c>
      <c r="B954" t="s">
        <v>30</v>
      </c>
      <c r="C954" t="s">
        <v>31</v>
      </c>
      <c r="D954" t="s">
        <v>38</v>
      </c>
      <c r="E954" t="s">
        <v>442</v>
      </c>
      <c r="F954" t="s">
        <v>17</v>
      </c>
      <c r="G954" t="s">
        <v>45</v>
      </c>
      <c r="H954" s="1">
        <v>45492</v>
      </c>
      <c r="I954" s="1">
        <v>45492</v>
      </c>
      <c r="J954">
        <f>Sheet1[[#This Row],[Close Date]]-Sheet1[[#This Row],[Open Date]]</f>
        <v>0</v>
      </c>
      <c r="K954" t="str">
        <f>IF(Sheet1[[#This Row],[Actual Days]]&gt;=1,"Not Met","Met")</f>
        <v>Met</v>
      </c>
      <c r="L954" t="str">
        <f>TEXT(Sheet1[[#This Row],[Open Date]],"mmm")</f>
        <v>Jul</v>
      </c>
    </row>
    <row r="955" spans="1:12" x14ac:dyDescent="0.3">
      <c r="A955" t="s">
        <v>1215</v>
      </c>
      <c r="B955" t="s">
        <v>22</v>
      </c>
      <c r="C955" t="s">
        <v>84</v>
      </c>
      <c r="D955" t="s">
        <v>94</v>
      </c>
      <c r="E955" t="s">
        <v>444</v>
      </c>
      <c r="F955" t="s">
        <v>26</v>
      </c>
      <c r="G955" t="s">
        <v>27</v>
      </c>
      <c r="H955" s="1">
        <v>45590</v>
      </c>
      <c r="I955" s="1">
        <v>45590</v>
      </c>
      <c r="J955">
        <f>Sheet1[[#This Row],[Close Date]]-Sheet1[[#This Row],[Open Date]]</f>
        <v>0</v>
      </c>
      <c r="K955" t="str">
        <f>IF(Sheet1[[#This Row],[Actual Days]]&gt;=1,"Not Met","Met")</f>
        <v>Met</v>
      </c>
      <c r="L955" t="str">
        <f>TEXT(Sheet1[[#This Row],[Open Date]],"mmm")</f>
        <v>Oct</v>
      </c>
    </row>
    <row r="956" spans="1:12" x14ac:dyDescent="0.3">
      <c r="A956" t="s">
        <v>1216</v>
      </c>
      <c r="B956" t="s">
        <v>22</v>
      </c>
      <c r="C956" t="s">
        <v>23</v>
      </c>
      <c r="D956" t="s">
        <v>73</v>
      </c>
      <c r="E956" t="s">
        <v>446</v>
      </c>
      <c r="F956" t="s">
        <v>26</v>
      </c>
      <c r="G956" t="s">
        <v>45</v>
      </c>
      <c r="H956" s="1">
        <v>45628</v>
      </c>
      <c r="I956" s="1">
        <v>45628</v>
      </c>
      <c r="J956">
        <f>Sheet1[[#This Row],[Close Date]]-Sheet1[[#This Row],[Open Date]]</f>
        <v>0</v>
      </c>
      <c r="K956" t="str">
        <f>IF(Sheet1[[#This Row],[Actual Days]]&gt;=1,"Not Met","Met")</f>
        <v>Met</v>
      </c>
      <c r="L956" t="str">
        <f>TEXT(Sheet1[[#This Row],[Open Date]],"mmm")</f>
        <v>Dec</v>
      </c>
    </row>
    <row r="957" spans="1:12" x14ac:dyDescent="0.3">
      <c r="A957" t="s">
        <v>1217</v>
      </c>
      <c r="B957" t="s">
        <v>22</v>
      </c>
      <c r="C957" t="s">
        <v>84</v>
      </c>
      <c r="D957" t="s">
        <v>24</v>
      </c>
      <c r="E957" t="s">
        <v>448</v>
      </c>
      <c r="F957" t="s">
        <v>26</v>
      </c>
      <c r="G957" t="s">
        <v>18</v>
      </c>
      <c r="H957" s="1">
        <v>45599</v>
      </c>
      <c r="I957" s="1">
        <v>45599</v>
      </c>
      <c r="J957">
        <f>Sheet1[[#This Row],[Close Date]]-Sheet1[[#This Row],[Open Date]]</f>
        <v>0</v>
      </c>
      <c r="K957" t="str">
        <f>IF(Sheet1[[#This Row],[Actual Days]]&gt;=1,"Not Met","Met")</f>
        <v>Met</v>
      </c>
      <c r="L957" t="str">
        <f>TEXT(Sheet1[[#This Row],[Open Date]],"mmm")</f>
        <v>Nov</v>
      </c>
    </row>
    <row r="958" spans="1:12" x14ac:dyDescent="0.3">
      <c r="A958" t="s">
        <v>1218</v>
      </c>
      <c r="B958" t="s">
        <v>42</v>
      </c>
      <c r="C958" t="s">
        <v>43</v>
      </c>
      <c r="D958" t="s">
        <v>38</v>
      </c>
      <c r="E958" t="s">
        <v>450</v>
      </c>
      <c r="F958" t="s">
        <v>26</v>
      </c>
      <c r="G958" t="s">
        <v>18</v>
      </c>
      <c r="H958" s="1">
        <v>45642</v>
      </c>
      <c r="I958" s="1">
        <v>45642</v>
      </c>
      <c r="J958">
        <f>Sheet1[[#This Row],[Close Date]]-Sheet1[[#This Row],[Open Date]]</f>
        <v>0</v>
      </c>
      <c r="K958" t="str">
        <f>IF(Sheet1[[#This Row],[Actual Days]]&gt;=1,"Not Met","Met")</f>
        <v>Met</v>
      </c>
      <c r="L958" t="str">
        <f>TEXT(Sheet1[[#This Row],[Open Date]],"mmm")</f>
        <v>Dec</v>
      </c>
    </row>
    <row r="959" spans="1:12" x14ac:dyDescent="0.3">
      <c r="A959" t="s">
        <v>1219</v>
      </c>
      <c r="B959" t="s">
        <v>13</v>
      </c>
      <c r="C959" t="s">
        <v>68</v>
      </c>
      <c r="D959" t="s">
        <v>38</v>
      </c>
      <c r="E959" t="s">
        <v>228</v>
      </c>
      <c r="F959" t="s">
        <v>26</v>
      </c>
      <c r="G959" t="s">
        <v>18</v>
      </c>
      <c r="H959" s="1">
        <v>45622</v>
      </c>
      <c r="I959" s="1">
        <v>45622</v>
      </c>
      <c r="J959">
        <f>Sheet1[[#This Row],[Close Date]]-Sheet1[[#This Row],[Open Date]]</f>
        <v>0</v>
      </c>
      <c r="K959" t="str">
        <f>IF(Sheet1[[#This Row],[Actual Days]]&gt;=1,"Not Met","Met")</f>
        <v>Met</v>
      </c>
      <c r="L959" t="str">
        <f>TEXT(Sheet1[[#This Row],[Open Date]],"mmm")</f>
        <v>Nov</v>
      </c>
    </row>
    <row r="960" spans="1:12" x14ac:dyDescent="0.3">
      <c r="A960" t="s">
        <v>1220</v>
      </c>
      <c r="B960" t="s">
        <v>30</v>
      </c>
      <c r="C960" t="s">
        <v>161</v>
      </c>
      <c r="D960" t="s">
        <v>38</v>
      </c>
      <c r="E960" t="s">
        <v>230</v>
      </c>
      <c r="F960" t="s">
        <v>26</v>
      </c>
      <c r="G960" t="s">
        <v>27</v>
      </c>
      <c r="H960" s="1">
        <v>45592</v>
      </c>
      <c r="I960" s="1">
        <v>45592</v>
      </c>
      <c r="J960">
        <f>Sheet1[[#This Row],[Close Date]]-Sheet1[[#This Row],[Open Date]]</f>
        <v>0</v>
      </c>
      <c r="K960" t="str">
        <f>IF(Sheet1[[#This Row],[Actual Days]]&gt;=1,"Not Met","Met")</f>
        <v>Met</v>
      </c>
      <c r="L960" t="str">
        <f>TEXT(Sheet1[[#This Row],[Open Date]],"mmm")</f>
        <v>Oct</v>
      </c>
    </row>
    <row r="961" spans="1:12" x14ac:dyDescent="0.3">
      <c r="A961" t="s">
        <v>1221</v>
      </c>
      <c r="B961" t="s">
        <v>36</v>
      </c>
      <c r="C961" t="s">
        <v>76</v>
      </c>
      <c r="D961" t="s">
        <v>156</v>
      </c>
      <c r="E961" t="s">
        <v>232</v>
      </c>
      <c r="F961" t="s">
        <v>40</v>
      </c>
      <c r="G961" t="s">
        <v>49</v>
      </c>
      <c r="H961" s="1">
        <v>45605</v>
      </c>
      <c r="I961" s="1">
        <v>45605</v>
      </c>
      <c r="J961">
        <f>Sheet1[[#This Row],[Close Date]]-Sheet1[[#This Row],[Open Date]]</f>
        <v>0</v>
      </c>
      <c r="K961" t="str">
        <f>IF(Sheet1[[#This Row],[Actual Days]]&gt;=1,"Not Met","Met")</f>
        <v>Met</v>
      </c>
      <c r="L961" t="str">
        <f>TEXT(Sheet1[[#This Row],[Open Date]],"mmm")</f>
        <v>Nov</v>
      </c>
    </row>
    <row r="962" spans="1:12" x14ac:dyDescent="0.3">
      <c r="A962" t="s">
        <v>1222</v>
      </c>
      <c r="B962" t="s">
        <v>13</v>
      </c>
      <c r="C962" t="s">
        <v>14</v>
      </c>
      <c r="D962" t="s">
        <v>94</v>
      </c>
      <c r="E962" t="s">
        <v>234</v>
      </c>
      <c r="F962" t="s">
        <v>26</v>
      </c>
      <c r="G962" t="s">
        <v>45</v>
      </c>
      <c r="H962" s="1">
        <v>45542</v>
      </c>
      <c r="I962" s="1">
        <v>45542</v>
      </c>
      <c r="J962">
        <f>Sheet1[[#This Row],[Close Date]]-Sheet1[[#This Row],[Open Date]]</f>
        <v>0</v>
      </c>
      <c r="K962" t="str">
        <f>IF(Sheet1[[#This Row],[Actual Days]]&gt;=1,"Not Met","Met")</f>
        <v>Met</v>
      </c>
      <c r="L962" t="str">
        <f>TEXT(Sheet1[[#This Row],[Open Date]],"mmm")</f>
        <v>Sep</v>
      </c>
    </row>
    <row r="963" spans="1:12" x14ac:dyDescent="0.3">
      <c r="A963" t="s">
        <v>1223</v>
      </c>
      <c r="B963" t="s">
        <v>13</v>
      </c>
      <c r="C963" t="s">
        <v>68</v>
      </c>
      <c r="D963" t="s">
        <v>94</v>
      </c>
      <c r="E963" t="s">
        <v>236</v>
      </c>
      <c r="F963" t="s">
        <v>17</v>
      </c>
      <c r="G963" t="s">
        <v>45</v>
      </c>
      <c r="H963" s="1">
        <v>45584</v>
      </c>
      <c r="I963" s="1">
        <v>45584</v>
      </c>
      <c r="J963">
        <f>Sheet1[[#This Row],[Close Date]]-Sheet1[[#This Row],[Open Date]]</f>
        <v>0</v>
      </c>
      <c r="K963" t="str">
        <f>IF(Sheet1[[#This Row],[Actual Days]]&gt;=1,"Not Met","Met")</f>
        <v>Met</v>
      </c>
      <c r="L963" t="str">
        <f>TEXT(Sheet1[[#This Row],[Open Date]],"mmm")</f>
        <v>Oct</v>
      </c>
    </row>
    <row r="964" spans="1:12" x14ac:dyDescent="0.3">
      <c r="A964" t="s">
        <v>1224</v>
      </c>
      <c r="B964" t="s">
        <v>42</v>
      </c>
      <c r="C964" t="s">
        <v>43</v>
      </c>
      <c r="D964" t="s">
        <v>156</v>
      </c>
      <c r="E964" t="s">
        <v>238</v>
      </c>
      <c r="F964" t="s">
        <v>26</v>
      </c>
      <c r="G964" t="s">
        <v>59</v>
      </c>
      <c r="H964" s="1">
        <v>45502</v>
      </c>
      <c r="I964" s="1">
        <v>45502</v>
      </c>
      <c r="J964">
        <f>Sheet1[[#This Row],[Close Date]]-Sheet1[[#This Row],[Open Date]]</f>
        <v>0</v>
      </c>
      <c r="K964" t="str">
        <f>IF(Sheet1[[#This Row],[Actual Days]]&gt;=1,"Not Met","Met")</f>
        <v>Met</v>
      </c>
      <c r="L964" t="str">
        <f>TEXT(Sheet1[[#This Row],[Open Date]],"mmm")</f>
        <v>Jul</v>
      </c>
    </row>
    <row r="965" spans="1:12" x14ac:dyDescent="0.3">
      <c r="A965" t="s">
        <v>1225</v>
      </c>
      <c r="B965" t="s">
        <v>13</v>
      </c>
      <c r="C965" t="s">
        <v>14</v>
      </c>
      <c r="D965" t="s">
        <v>38</v>
      </c>
      <c r="E965" t="s">
        <v>240</v>
      </c>
      <c r="F965" t="s">
        <v>26</v>
      </c>
      <c r="G965" t="s">
        <v>49</v>
      </c>
      <c r="H965" s="1">
        <v>45550</v>
      </c>
      <c r="I965" s="1">
        <v>45551</v>
      </c>
      <c r="J965">
        <f>Sheet1[[#This Row],[Close Date]]-Sheet1[[#This Row],[Open Date]]</f>
        <v>1</v>
      </c>
      <c r="K965" t="str">
        <f>IF(Sheet1[[#This Row],[Actual Days]]&gt;=1,"Not Met","Met")</f>
        <v>Not Met</v>
      </c>
      <c r="L965" t="str">
        <f>TEXT(Sheet1[[#This Row],[Open Date]],"mmm")</f>
        <v>Sep</v>
      </c>
    </row>
    <row r="966" spans="1:12" x14ac:dyDescent="0.3">
      <c r="A966" t="s">
        <v>1226</v>
      </c>
      <c r="B966" t="s">
        <v>30</v>
      </c>
      <c r="C966" t="s">
        <v>161</v>
      </c>
      <c r="D966" t="s">
        <v>38</v>
      </c>
      <c r="E966" t="s">
        <v>242</v>
      </c>
      <c r="F966" t="s">
        <v>40</v>
      </c>
      <c r="G966" t="s">
        <v>59</v>
      </c>
      <c r="H966" s="1">
        <v>45556</v>
      </c>
      <c r="I966" s="1">
        <v>45556</v>
      </c>
      <c r="J966">
        <f>Sheet1[[#This Row],[Close Date]]-Sheet1[[#This Row],[Open Date]]</f>
        <v>0</v>
      </c>
      <c r="K966" t="str">
        <f>IF(Sheet1[[#This Row],[Actual Days]]&gt;=1,"Not Met","Met")</f>
        <v>Met</v>
      </c>
      <c r="L966" t="str">
        <f>TEXT(Sheet1[[#This Row],[Open Date]],"mmm")</f>
        <v>Sep</v>
      </c>
    </row>
    <row r="967" spans="1:12" x14ac:dyDescent="0.3">
      <c r="A967" t="s">
        <v>1227</v>
      </c>
      <c r="B967" t="s">
        <v>22</v>
      </c>
      <c r="C967" t="s">
        <v>23</v>
      </c>
      <c r="D967" t="s">
        <v>94</v>
      </c>
      <c r="E967" t="s">
        <v>244</v>
      </c>
      <c r="F967" t="s">
        <v>40</v>
      </c>
      <c r="G967" t="s">
        <v>27</v>
      </c>
      <c r="H967" s="1">
        <v>45598</v>
      </c>
      <c r="I967" s="1">
        <v>45598</v>
      </c>
      <c r="J967">
        <f>Sheet1[[#This Row],[Close Date]]-Sheet1[[#This Row],[Open Date]]</f>
        <v>0</v>
      </c>
      <c r="K967" t="str">
        <f>IF(Sheet1[[#This Row],[Actual Days]]&gt;=1,"Not Met","Met")</f>
        <v>Met</v>
      </c>
      <c r="L967" t="str">
        <f>TEXT(Sheet1[[#This Row],[Open Date]],"mmm")</f>
        <v>Nov</v>
      </c>
    </row>
    <row r="968" spans="1:12" x14ac:dyDescent="0.3">
      <c r="A968" t="s">
        <v>1228</v>
      </c>
      <c r="B968" t="s">
        <v>36</v>
      </c>
      <c r="C968" t="s">
        <v>62</v>
      </c>
      <c r="D968" t="s">
        <v>87</v>
      </c>
      <c r="E968" t="s">
        <v>246</v>
      </c>
      <c r="F968" t="s">
        <v>26</v>
      </c>
      <c r="G968" t="s">
        <v>34</v>
      </c>
      <c r="H968" s="1">
        <v>45483</v>
      </c>
      <c r="I968" s="1">
        <v>45483</v>
      </c>
      <c r="J968">
        <f>Sheet1[[#This Row],[Close Date]]-Sheet1[[#This Row],[Open Date]]</f>
        <v>0</v>
      </c>
      <c r="K968" t="str">
        <f>IF(Sheet1[[#This Row],[Actual Days]]&gt;=1,"Not Met","Met")</f>
        <v>Met</v>
      </c>
      <c r="L968" t="str">
        <f>TEXT(Sheet1[[#This Row],[Open Date]],"mmm")</f>
        <v>Jul</v>
      </c>
    </row>
    <row r="969" spans="1:12" x14ac:dyDescent="0.3">
      <c r="A969" t="s">
        <v>1229</v>
      </c>
      <c r="B969" t="s">
        <v>13</v>
      </c>
      <c r="C969" t="s">
        <v>14</v>
      </c>
      <c r="D969" t="s">
        <v>24</v>
      </c>
      <c r="E969" t="s">
        <v>248</v>
      </c>
      <c r="F969" t="s">
        <v>17</v>
      </c>
      <c r="G969" t="s">
        <v>18</v>
      </c>
      <c r="H969" s="1">
        <v>45582</v>
      </c>
      <c r="I969" s="1">
        <v>45582</v>
      </c>
      <c r="J969">
        <f>Sheet1[[#This Row],[Close Date]]-Sheet1[[#This Row],[Open Date]]</f>
        <v>0</v>
      </c>
      <c r="K969" t="str">
        <f>IF(Sheet1[[#This Row],[Actual Days]]&gt;=1,"Not Met","Met")</f>
        <v>Met</v>
      </c>
      <c r="L969" t="str">
        <f>TEXT(Sheet1[[#This Row],[Open Date]],"mmm")</f>
        <v>Oct</v>
      </c>
    </row>
    <row r="970" spans="1:12" x14ac:dyDescent="0.3">
      <c r="A970" t="s">
        <v>1230</v>
      </c>
      <c r="B970" t="s">
        <v>22</v>
      </c>
      <c r="C970" t="s">
        <v>23</v>
      </c>
      <c r="D970" t="s">
        <v>73</v>
      </c>
      <c r="E970" t="s">
        <v>250</v>
      </c>
      <c r="F970" t="s">
        <v>26</v>
      </c>
      <c r="G970" t="s">
        <v>49</v>
      </c>
      <c r="H970" s="1">
        <v>45557</v>
      </c>
      <c r="I970" s="1">
        <v>45558</v>
      </c>
      <c r="J970">
        <f>Sheet1[[#This Row],[Close Date]]-Sheet1[[#This Row],[Open Date]]</f>
        <v>1</v>
      </c>
      <c r="K970" t="str">
        <f>IF(Sheet1[[#This Row],[Actual Days]]&gt;=1,"Not Met","Met")</f>
        <v>Not Met</v>
      </c>
      <c r="L970" t="str">
        <f>TEXT(Sheet1[[#This Row],[Open Date]],"mmm")</f>
        <v>Sep</v>
      </c>
    </row>
    <row r="971" spans="1:12" x14ac:dyDescent="0.3">
      <c r="A971" t="s">
        <v>1231</v>
      </c>
      <c r="B971" t="s">
        <v>30</v>
      </c>
      <c r="C971" t="s">
        <v>31</v>
      </c>
      <c r="D971" t="s">
        <v>94</v>
      </c>
      <c r="E971" t="s">
        <v>252</v>
      </c>
      <c r="F971" t="s">
        <v>40</v>
      </c>
      <c r="G971" t="s">
        <v>18</v>
      </c>
      <c r="H971" s="1">
        <v>45540</v>
      </c>
      <c r="I971" s="1">
        <v>45540</v>
      </c>
      <c r="J971">
        <f>Sheet1[[#This Row],[Close Date]]-Sheet1[[#This Row],[Open Date]]</f>
        <v>0</v>
      </c>
      <c r="K971" t="str">
        <f>IF(Sheet1[[#This Row],[Actual Days]]&gt;=1,"Not Met","Met")</f>
        <v>Met</v>
      </c>
      <c r="L971" t="str">
        <f>TEXT(Sheet1[[#This Row],[Open Date]],"mmm")</f>
        <v>Sep</v>
      </c>
    </row>
    <row r="972" spans="1:12" x14ac:dyDescent="0.3">
      <c r="A972" t="s">
        <v>1232</v>
      </c>
      <c r="B972" t="s">
        <v>22</v>
      </c>
      <c r="C972" t="s">
        <v>101</v>
      </c>
      <c r="D972" t="s">
        <v>73</v>
      </c>
      <c r="E972" t="s">
        <v>254</v>
      </c>
      <c r="F972" t="s">
        <v>26</v>
      </c>
      <c r="G972" t="s">
        <v>34</v>
      </c>
      <c r="H972" s="1">
        <v>45503</v>
      </c>
      <c r="I972" s="1">
        <v>45503</v>
      </c>
      <c r="J972">
        <f>Sheet1[[#This Row],[Close Date]]-Sheet1[[#This Row],[Open Date]]</f>
        <v>0</v>
      </c>
      <c r="K972" t="str">
        <f>IF(Sheet1[[#This Row],[Actual Days]]&gt;=1,"Not Met","Met")</f>
        <v>Met</v>
      </c>
      <c r="L972" t="str">
        <f>TEXT(Sheet1[[#This Row],[Open Date]],"mmm")</f>
        <v>Jul</v>
      </c>
    </row>
    <row r="973" spans="1:12" x14ac:dyDescent="0.3">
      <c r="A973" t="s">
        <v>1233</v>
      </c>
      <c r="B973" t="s">
        <v>42</v>
      </c>
      <c r="C973" t="s">
        <v>104</v>
      </c>
      <c r="D973" t="s">
        <v>38</v>
      </c>
      <c r="E973" t="s">
        <v>256</v>
      </c>
      <c r="F973" t="s">
        <v>40</v>
      </c>
      <c r="G973" t="s">
        <v>59</v>
      </c>
      <c r="H973" s="1">
        <v>45485</v>
      </c>
      <c r="I973" s="1">
        <v>45485</v>
      </c>
      <c r="J973">
        <f>Sheet1[[#This Row],[Close Date]]-Sheet1[[#This Row],[Open Date]]</f>
        <v>0</v>
      </c>
      <c r="K973" t="str">
        <f>IF(Sheet1[[#This Row],[Actual Days]]&gt;=1,"Not Met","Met")</f>
        <v>Met</v>
      </c>
      <c r="L973" t="str">
        <f>TEXT(Sheet1[[#This Row],[Open Date]],"mmm")</f>
        <v>Jul</v>
      </c>
    </row>
    <row r="974" spans="1:12" x14ac:dyDescent="0.3">
      <c r="A974" t="s">
        <v>1234</v>
      </c>
      <c r="B974" t="s">
        <v>42</v>
      </c>
      <c r="C974" t="s">
        <v>107</v>
      </c>
      <c r="D974" t="s">
        <v>94</v>
      </c>
      <c r="E974" t="s">
        <v>258</v>
      </c>
      <c r="F974" t="s">
        <v>26</v>
      </c>
      <c r="G974" t="s">
        <v>49</v>
      </c>
      <c r="H974" s="1">
        <v>45647</v>
      </c>
      <c r="I974" s="1">
        <v>45647</v>
      </c>
      <c r="J974">
        <f>Sheet1[[#This Row],[Close Date]]-Sheet1[[#This Row],[Open Date]]</f>
        <v>0</v>
      </c>
      <c r="K974" t="str">
        <f>IF(Sheet1[[#This Row],[Actual Days]]&gt;=1,"Not Met","Met")</f>
        <v>Met</v>
      </c>
      <c r="L974" t="str">
        <f>TEXT(Sheet1[[#This Row],[Open Date]],"mmm")</f>
        <v>Dec</v>
      </c>
    </row>
    <row r="975" spans="1:12" x14ac:dyDescent="0.3">
      <c r="A975" t="s">
        <v>1235</v>
      </c>
      <c r="B975" t="s">
        <v>30</v>
      </c>
      <c r="C975" t="s">
        <v>51</v>
      </c>
      <c r="D975" t="s">
        <v>94</v>
      </c>
      <c r="E975" t="s">
        <v>260</v>
      </c>
      <c r="F975" t="s">
        <v>40</v>
      </c>
      <c r="G975" t="s">
        <v>27</v>
      </c>
      <c r="H975" s="1">
        <v>45599</v>
      </c>
      <c r="I975" s="1">
        <v>45599</v>
      </c>
      <c r="J975">
        <f>Sheet1[[#This Row],[Close Date]]-Sheet1[[#This Row],[Open Date]]</f>
        <v>0</v>
      </c>
      <c r="K975" t="str">
        <f>IF(Sheet1[[#This Row],[Actual Days]]&gt;=1,"Not Met","Met")</f>
        <v>Met</v>
      </c>
      <c r="L975" t="str">
        <f>TEXT(Sheet1[[#This Row],[Open Date]],"mmm")</f>
        <v>Nov</v>
      </c>
    </row>
    <row r="976" spans="1:12" x14ac:dyDescent="0.3">
      <c r="A976" t="s">
        <v>1236</v>
      </c>
      <c r="B976" t="s">
        <v>42</v>
      </c>
      <c r="C976" t="s">
        <v>107</v>
      </c>
      <c r="D976" t="s">
        <v>32</v>
      </c>
      <c r="E976" t="s">
        <v>262</v>
      </c>
      <c r="F976" t="s">
        <v>40</v>
      </c>
      <c r="G976" t="s">
        <v>59</v>
      </c>
      <c r="H976" s="1">
        <v>45635</v>
      </c>
      <c r="I976" s="1">
        <v>45635</v>
      </c>
      <c r="J976">
        <f>Sheet1[[#This Row],[Close Date]]-Sheet1[[#This Row],[Open Date]]</f>
        <v>0</v>
      </c>
      <c r="K976" t="str">
        <f>IF(Sheet1[[#This Row],[Actual Days]]&gt;=1,"Not Met","Met")</f>
        <v>Met</v>
      </c>
      <c r="L976" t="str">
        <f>TEXT(Sheet1[[#This Row],[Open Date]],"mmm")</f>
        <v>Dec</v>
      </c>
    </row>
    <row r="977" spans="1:12" x14ac:dyDescent="0.3">
      <c r="A977" t="s">
        <v>1237</v>
      </c>
      <c r="B977" t="s">
        <v>42</v>
      </c>
      <c r="C977" t="s">
        <v>43</v>
      </c>
      <c r="D977" t="s">
        <v>24</v>
      </c>
      <c r="E977" t="s">
        <v>264</v>
      </c>
      <c r="F977" t="s">
        <v>26</v>
      </c>
      <c r="G977" t="s">
        <v>59</v>
      </c>
      <c r="H977" s="1">
        <v>45644</v>
      </c>
      <c r="I977" s="1">
        <v>45644</v>
      </c>
      <c r="J977">
        <f>Sheet1[[#This Row],[Close Date]]-Sheet1[[#This Row],[Open Date]]</f>
        <v>0</v>
      </c>
      <c r="K977" t="str">
        <f>IF(Sheet1[[#This Row],[Actual Days]]&gt;=1,"Not Met","Met")</f>
        <v>Met</v>
      </c>
      <c r="L977" t="str">
        <f>TEXT(Sheet1[[#This Row],[Open Date]],"mmm")</f>
        <v>Dec</v>
      </c>
    </row>
    <row r="978" spans="1:12" x14ac:dyDescent="0.3">
      <c r="A978" t="s">
        <v>1238</v>
      </c>
      <c r="B978" t="s">
        <v>30</v>
      </c>
      <c r="C978" t="s">
        <v>51</v>
      </c>
      <c r="D978" t="s">
        <v>156</v>
      </c>
      <c r="E978" t="s">
        <v>266</v>
      </c>
      <c r="F978" t="s">
        <v>17</v>
      </c>
      <c r="G978" t="s">
        <v>45</v>
      </c>
      <c r="H978" s="1">
        <v>45595</v>
      </c>
      <c r="I978" s="1">
        <v>45595</v>
      </c>
      <c r="J978">
        <f>Sheet1[[#This Row],[Close Date]]-Sheet1[[#This Row],[Open Date]]</f>
        <v>0</v>
      </c>
      <c r="K978" t="str">
        <f>IF(Sheet1[[#This Row],[Actual Days]]&gt;=1,"Not Met","Met")</f>
        <v>Met</v>
      </c>
      <c r="L978" t="str">
        <f>TEXT(Sheet1[[#This Row],[Open Date]],"mmm")</f>
        <v>Oct</v>
      </c>
    </row>
    <row r="979" spans="1:12" x14ac:dyDescent="0.3">
      <c r="A979" t="s">
        <v>1239</v>
      </c>
      <c r="B979" t="s">
        <v>42</v>
      </c>
      <c r="C979" t="s">
        <v>107</v>
      </c>
      <c r="D979" t="s">
        <v>38</v>
      </c>
      <c r="E979" t="s">
        <v>268</v>
      </c>
      <c r="F979" t="s">
        <v>26</v>
      </c>
      <c r="G979" t="s">
        <v>34</v>
      </c>
      <c r="H979" s="1">
        <v>45574</v>
      </c>
      <c r="I979" s="1">
        <v>45574</v>
      </c>
      <c r="J979">
        <f>Sheet1[[#This Row],[Close Date]]-Sheet1[[#This Row],[Open Date]]</f>
        <v>0</v>
      </c>
      <c r="K979" t="str">
        <f>IF(Sheet1[[#This Row],[Actual Days]]&gt;=1,"Not Met","Met")</f>
        <v>Met</v>
      </c>
      <c r="L979" t="str">
        <f>TEXT(Sheet1[[#This Row],[Open Date]],"mmm")</f>
        <v>Oct</v>
      </c>
    </row>
    <row r="980" spans="1:12" x14ac:dyDescent="0.3">
      <c r="A980" t="s">
        <v>1240</v>
      </c>
      <c r="B980" t="s">
        <v>36</v>
      </c>
      <c r="C980" t="s">
        <v>76</v>
      </c>
      <c r="D980" t="s">
        <v>24</v>
      </c>
      <c r="E980" t="s">
        <v>270</v>
      </c>
      <c r="F980" t="s">
        <v>40</v>
      </c>
      <c r="G980" t="s">
        <v>45</v>
      </c>
      <c r="H980" s="1">
        <v>45591</v>
      </c>
      <c r="I980" s="1">
        <v>45591</v>
      </c>
      <c r="J980">
        <f>Sheet1[[#This Row],[Close Date]]-Sheet1[[#This Row],[Open Date]]</f>
        <v>0</v>
      </c>
      <c r="K980" t="str">
        <f>IF(Sheet1[[#This Row],[Actual Days]]&gt;=1,"Not Met","Met")</f>
        <v>Met</v>
      </c>
      <c r="L980" t="str">
        <f>TEXT(Sheet1[[#This Row],[Open Date]],"mmm")</f>
        <v>Oct</v>
      </c>
    </row>
    <row r="981" spans="1:12" x14ac:dyDescent="0.3">
      <c r="A981" t="s">
        <v>1241</v>
      </c>
      <c r="B981" t="s">
        <v>30</v>
      </c>
      <c r="C981" t="s">
        <v>51</v>
      </c>
      <c r="D981" t="s">
        <v>32</v>
      </c>
      <c r="E981" t="s">
        <v>272</v>
      </c>
      <c r="F981" t="s">
        <v>40</v>
      </c>
      <c r="G981" t="s">
        <v>27</v>
      </c>
      <c r="H981" s="1">
        <v>45540</v>
      </c>
      <c r="I981" s="1">
        <v>45540</v>
      </c>
      <c r="J981">
        <f>Sheet1[[#This Row],[Close Date]]-Sheet1[[#This Row],[Open Date]]</f>
        <v>0</v>
      </c>
      <c r="K981" t="str">
        <f>IF(Sheet1[[#This Row],[Actual Days]]&gt;=1,"Not Met","Met")</f>
        <v>Met</v>
      </c>
      <c r="L981" t="str">
        <f>TEXT(Sheet1[[#This Row],[Open Date]],"mmm")</f>
        <v>Sep</v>
      </c>
    </row>
    <row r="982" spans="1:12" x14ac:dyDescent="0.3">
      <c r="A982" t="s">
        <v>1242</v>
      </c>
      <c r="B982" t="s">
        <v>30</v>
      </c>
      <c r="C982" t="s">
        <v>31</v>
      </c>
      <c r="D982" t="s">
        <v>38</v>
      </c>
      <c r="E982" t="s">
        <v>274</v>
      </c>
      <c r="F982" t="s">
        <v>40</v>
      </c>
      <c r="G982" t="s">
        <v>34</v>
      </c>
      <c r="H982" s="1">
        <v>45614</v>
      </c>
      <c r="I982" s="1">
        <v>45614</v>
      </c>
      <c r="J982">
        <f>Sheet1[[#This Row],[Close Date]]-Sheet1[[#This Row],[Open Date]]</f>
        <v>0</v>
      </c>
      <c r="K982" t="str">
        <f>IF(Sheet1[[#This Row],[Actual Days]]&gt;=1,"Not Met","Met")</f>
        <v>Met</v>
      </c>
      <c r="L982" t="str">
        <f>TEXT(Sheet1[[#This Row],[Open Date]],"mmm")</f>
        <v>Nov</v>
      </c>
    </row>
    <row r="983" spans="1:12" x14ac:dyDescent="0.3">
      <c r="A983" t="s">
        <v>1243</v>
      </c>
      <c r="B983" t="s">
        <v>13</v>
      </c>
      <c r="C983" t="s">
        <v>68</v>
      </c>
      <c r="D983" t="s">
        <v>87</v>
      </c>
      <c r="E983" t="s">
        <v>276</v>
      </c>
      <c r="F983" t="s">
        <v>17</v>
      </c>
      <c r="G983" t="s">
        <v>59</v>
      </c>
      <c r="H983" s="1">
        <v>45544</v>
      </c>
      <c r="I983" s="1">
        <v>45544</v>
      </c>
      <c r="J983">
        <f>Sheet1[[#This Row],[Close Date]]-Sheet1[[#This Row],[Open Date]]</f>
        <v>0</v>
      </c>
      <c r="K983" t="str">
        <f>IF(Sheet1[[#This Row],[Actual Days]]&gt;=1,"Not Met","Met")</f>
        <v>Met</v>
      </c>
      <c r="L983" t="str">
        <f>TEXT(Sheet1[[#This Row],[Open Date]],"mmm")</f>
        <v>Sep</v>
      </c>
    </row>
    <row r="984" spans="1:12" x14ac:dyDescent="0.3">
      <c r="A984" t="s">
        <v>1244</v>
      </c>
      <c r="B984" t="s">
        <v>42</v>
      </c>
      <c r="C984" t="s">
        <v>104</v>
      </c>
      <c r="D984" t="s">
        <v>15</v>
      </c>
      <c r="E984" t="s">
        <v>278</v>
      </c>
      <c r="F984" t="s">
        <v>40</v>
      </c>
      <c r="G984" t="s">
        <v>45</v>
      </c>
      <c r="H984" s="1">
        <v>45500</v>
      </c>
      <c r="I984" s="1">
        <v>45500</v>
      </c>
      <c r="J984">
        <f>Sheet1[[#This Row],[Close Date]]-Sheet1[[#This Row],[Open Date]]</f>
        <v>0</v>
      </c>
      <c r="K984" t="str">
        <f>IF(Sheet1[[#This Row],[Actual Days]]&gt;=1,"Not Met","Met")</f>
        <v>Met</v>
      </c>
      <c r="L984" t="str">
        <f>TEXT(Sheet1[[#This Row],[Open Date]],"mmm")</f>
        <v>Jul</v>
      </c>
    </row>
    <row r="985" spans="1:12" x14ac:dyDescent="0.3">
      <c r="A985" t="s">
        <v>1245</v>
      </c>
      <c r="B985" t="s">
        <v>30</v>
      </c>
      <c r="C985" t="s">
        <v>161</v>
      </c>
      <c r="D985" t="s">
        <v>38</v>
      </c>
      <c r="E985" t="s">
        <v>280</v>
      </c>
      <c r="F985" t="s">
        <v>26</v>
      </c>
      <c r="G985" t="s">
        <v>49</v>
      </c>
      <c r="H985" s="1">
        <v>45495</v>
      </c>
      <c r="I985" s="1">
        <v>45495</v>
      </c>
      <c r="J985">
        <f>Sheet1[[#This Row],[Close Date]]-Sheet1[[#This Row],[Open Date]]</f>
        <v>0</v>
      </c>
      <c r="K985" t="str">
        <f>IF(Sheet1[[#This Row],[Actual Days]]&gt;=1,"Not Met","Met")</f>
        <v>Met</v>
      </c>
      <c r="L985" t="str">
        <f>TEXT(Sheet1[[#This Row],[Open Date]],"mmm")</f>
        <v>Jul</v>
      </c>
    </row>
    <row r="986" spans="1:12" x14ac:dyDescent="0.3">
      <c r="A986" t="s">
        <v>1246</v>
      </c>
      <c r="B986" t="s">
        <v>22</v>
      </c>
      <c r="C986" t="s">
        <v>101</v>
      </c>
      <c r="D986" t="s">
        <v>32</v>
      </c>
      <c r="E986" t="s">
        <v>282</v>
      </c>
      <c r="F986" t="s">
        <v>26</v>
      </c>
      <c r="G986" t="s">
        <v>49</v>
      </c>
      <c r="H986" s="1">
        <v>45562</v>
      </c>
      <c r="I986" s="1">
        <v>45562</v>
      </c>
      <c r="J986">
        <f>Sheet1[[#This Row],[Close Date]]-Sheet1[[#This Row],[Open Date]]</f>
        <v>0</v>
      </c>
      <c r="K986" t="str">
        <f>IF(Sheet1[[#This Row],[Actual Days]]&gt;=1,"Not Met","Met")</f>
        <v>Met</v>
      </c>
      <c r="L986" t="str">
        <f>TEXT(Sheet1[[#This Row],[Open Date]],"mmm")</f>
        <v>Sep</v>
      </c>
    </row>
    <row r="987" spans="1:12" x14ac:dyDescent="0.3">
      <c r="A987" t="s">
        <v>1247</v>
      </c>
      <c r="B987" t="s">
        <v>36</v>
      </c>
      <c r="C987" t="s">
        <v>37</v>
      </c>
      <c r="D987" t="s">
        <v>38</v>
      </c>
      <c r="E987" t="s">
        <v>284</v>
      </c>
      <c r="F987" t="s">
        <v>17</v>
      </c>
      <c r="G987" t="s">
        <v>27</v>
      </c>
      <c r="H987" s="1">
        <v>45549</v>
      </c>
      <c r="I987" s="1">
        <v>45549</v>
      </c>
      <c r="J987">
        <f>Sheet1[[#This Row],[Close Date]]-Sheet1[[#This Row],[Open Date]]</f>
        <v>0</v>
      </c>
      <c r="K987" t="str">
        <f>IF(Sheet1[[#This Row],[Actual Days]]&gt;=1,"Not Met","Met")</f>
        <v>Met</v>
      </c>
      <c r="L987" t="str">
        <f>TEXT(Sheet1[[#This Row],[Open Date]],"mmm")</f>
        <v>Sep</v>
      </c>
    </row>
    <row r="988" spans="1:12" x14ac:dyDescent="0.3">
      <c r="A988" t="s">
        <v>1248</v>
      </c>
      <c r="B988" t="s">
        <v>13</v>
      </c>
      <c r="C988" t="s">
        <v>65</v>
      </c>
      <c r="D988" t="s">
        <v>73</v>
      </c>
      <c r="E988" t="s">
        <v>286</v>
      </c>
      <c r="F988" t="s">
        <v>17</v>
      </c>
      <c r="G988" t="s">
        <v>49</v>
      </c>
      <c r="H988" s="1">
        <v>45576</v>
      </c>
      <c r="I988" s="1">
        <v>45576</v>
      </c>
      <c r="J988">
        <f>Sheet1[[#This Row],[Close Date]]-Sheet1[[#This Row],[Open Date]]</f>
        <v>0</v>
      </c>
      <c r="K988" t="str">
        <f>IF(Sheet1[[#This Row],[Actual Days]]&gt;=1,"Not Met","Met")</f>
        <v>Met</v>
      </c>
      <c r="L988" t="str">
        <f>TEXT(Sheet1[[#This Row],[Open Date]],"mmm")</f>
        <v>Oct</v>
      </c>
    </row>
    <row r="989" spans="1:12" x14ac:dyDescent="0.3">
      <c r="A989" t="s">
        <v>1249</v>
      </c>
      <c r="B989" t="s">
        <v>30</v>
      </c>
      <c r="C989" t="s">
        <v>31</v>
      </c>
      <c r="D989" t="s">
        <v>73</v>
      </c>
      <c r="E989" t="s">
        <v>288</v>
      </c>
      <c r="F989" t="s">
        <v>26</v>
      </c>
      <c r="G989" t="s">
        <v>27</v>
      </c>
      <c r="H989" s="1">
        <v>45616</v>
      </c>
      <c r="I989" s="1">
        <v>45616</v>
      </c>
      <c r="J989">
        <f>Sheet1[[#This Row],[Close Date]]-Sheet1[[#This Row],[Open Date]]</f>
        <v>0</v>
      </c>
      <c r="K989" t="str">
        <f>IF(Sheet1[[#This Row],[Actual Days]]&gt;=1,"Not Met","Met")</f>
        <v>Met</v>
      </c>
      <c r="L989" t="str">
        <f>TEXT(Sheet1[[#This Row],[Open Date]],"mmm")</f>
        <v>Nov</v>
      </c>
    </row>
    <row r="990" spans="1:12" x14ac:dyDescent="0.3">
      <c r="A990" t="s">
        <v>1250</v>
      </c>
      <c r="B990" t="s">
        <v>30</v>
      </c>
      <c r="C990" t="s">
        <v>161</v>
      </c>
      <c r="D990" t="s">
        <v>87</v>
      </c>
      <c r="E990" t="s">
        <v>290</v>
      </c>
      <c r="F990" t="s">
        <v>40</v>
      </c>
      <c r="G990" t="s">
        <v>59</v>
      </c>
      <c r="H990" s="1">
        <v>45478</v>
      </c>
      <c r="I990" s="1">
        <v>45478</v>
      </c>
      <c r="J990">
        <f>Sheet1[[#This Row],[Close Date]]-Sheet1[[#This Row],[Open Date]]</f>
        <v>0</v>
      </c>
      <c r="K990" t="str">
        <f>IF(Sheet1[[#This Row],[Actual Days]]&gt;=1,"Not Met","Met")</f>
        <v>Met</v>
      </c>
      <c r="L990" t="str">
        <f>TEXT(Sheet1[[#This Row],[Open Date]],"mmm")</f>
        <v>Jul</v>
      </c>
    </row>
    <row r="991" spans="1:12" x14ac:dyDescent="0.3">
      <c r="A991" t="s">
        <v>1251</v>
      </c>
      <c r="B991" t="s">
        <v>22</v>
      </c>
      <c r="C991" t="s">
        <v>84</v>
      </c>
      <c r="D991" t="s">
        <v>156</v>
      </c>
      <c r="E991" t="s">
        <v>292</v>
      </c>
      <c r="F991" t="s">
        <v>40</v>
      </c>
      <c r="G991" t="s">
        <v>59</v>
      </c>
      <c r="H991" s="1">
        <v>45569</v>
      </c>
      <c r="I991" s="1">
        <v>45569</v>
      </c>
      <c r="J991">
        <f>Sheet1[[#This Row],[Close Date]]-Sheet1[[#This Row],[Open Date]]</f>
        <v>0</v>
      </c>
      <c r="K991" t="str">
        <f>IF(Sheet1[[#This Row],[Actual Days]]&gt;=1,"Not Met","Met")</f>
        <v>Met</v>
      </c>
      <c r="L991" t="str">
        <f>TEXT(Sheet1[[#This Row],[Open Date]],"mmm")</f>
        <v>Oct</v>
      </c>
    </row>
    <row r="992" spans="1:12" x14ac:dyDescent="0.3">
      <c r="A992" t="s">
        <v>1252</v>
      </c>
      <c r="B992" t="s">
        <v>42</v>
      </c>
      <c r="C992" t="s">
        <v>107</v>
      </c>
      <c r="D992" t="s">
        <v>87</v>
      </c>
      <c r="E992" t="s">
        <v>294</v>
      </c>
      <c r="F992" t="s">
        <v>26</v>
      </c>
      <c r="G992" t="s">
        <v>18</v>
      </c>
      <c r="H992" s="1">
        <v>45589</v>
      </c>
      <c r="I992" s="1">
        <v>45589</v>
      </c>
      <c r="J992">
        <f>Sheet1[[#This Row],[Close Date]]-Sheet1[[#This Row],[Open Date]]</f>
        <v>0</v>
      </c>
      <c r="K992" t="str">
        <f>IF(Sheet1[[#This Row],[Actual Days]]&gt;=1,"Not Met","Met")</f>
        <v>Met</v>
      </c>
      <c r="L992" t="str">
        <f>TEXT(Sheet1[[#This Row],[Open Date]],"mmm")</f>
        <v>Oct</v>
      </c>
    </row>
    <row r="993" spans="1:12" x14ac:dyDescent="0.3">
      <c r="A993" t="s">
        <v>1253</v>
      </c>
      <c r="B993" t="s">
        <v>22</v>
      </c>
      <c r="C993" t="s">
        <v>23</v>
      </c>
      <c r="D993" t="s">
        <v>32</v>
      </c>
      <c r="E993" t="s">
        <v>296</v>
      </c>
      <c r="F993" t="s">
        <v>17</v>
      </c>
      <c r="G993" t="s">
        <v>59</v>
      </c>
      <c r="H993" s="1">
        <v>45520</v>
      </c>
      <c r="I993" s="1">
        <v>45520</v>
      </c>
      <c r="J993">
        <f>Sheet1[[#This Row],[Close Date]]-Sheet1[[#This Row],[Open Date]]</f>
        <v>0</v>
      </c>
      <c r="K993" t="str">
        <f>IF(Sheet1[[#This Row],[Actual Days]]&gt;=1,"Not Met","Met")</f>
        <v>Met</v>
      </c>
      <c r="L993" t="str">
        <f>TEXT(Sheet1[[#This Row],[Open Date]],"mmm")</f>
        <v>Aug</v>
      </c>
    </row>
    <row r="994" spans="1:12" x14ac:dyDescent="0.3">
      <c r="A994" t="s">
        <v>1254</v>
      </c>
      <c r="B994" t="s">
        <v>13</v>
      </c>
      <c r="C994" t="s">
        <v>14</v>
      </c>
      <c r="D994" t="s">
        <v>24</v>
      </c>
      <c r="E994" t="s">
        <v>298</v>
      </c>
      <c r="F994" t="s">
        <v>26</v>
      </c>
      <c r="G994" t="s">
        <v>27</v>
      </c>
      <c r="H994" s="1">
        <v>45586</v>
      </c>
      <c r="I994" s="1">
        <v>45586</v>
      </c>
      <c r="J994">
        <f>Sheet1[[#This Row],[Close Date]]-Sheet1[[#This Row],[Open Date]]</f>
        <v>0</v>
      </c>
      <c r="K994" t="str">
        <f>IF(Sheet1[[#This Row],[Actual Days]]&gt;=1,"Not Met","Met")</f>
        <v>Met</v>
      </c>
      <c r="L994" t="str">
        <f>TEXT(Sheet1[[#This Row],[Open Date]],"mmm")</f>
        <v>Oct</v>
      </c>
    </row>
    <row r="995" spans="1:12" x14ac:dyDescent="0.3">
      <c r="A995" t="s">
        <v>1255</v>
      </c>
      <c r="B995" t="s">
        <v>22</v>
      </c>
      <c r="C995" t="s">
        <v>84</v>
      </c>
      <c r="D995" t="s">
        <v>24</v>
      </c>
      <c r="E995" t="s">
        <v>300</v>
      </c>
      <c r="F995" t="s">
        <v>26</v>
      </c>
      <c r="G995" t="s">
        <v>45</v>
      </c>
      <c r="H995" s="1">
        <v>45633</v>
      </c>
      <c r="I995" s="1">
        <v>45633</v>
      </c>
      <c r="J995">
        <f>Sheet1[[#This Row],[Close Date]]-Sheet1[[#This Row],[Open Date]]</f>
        <v>0</v>
      </c>
      <c r="K995" t="str">
        <f>IF(Sheet1[[#This Row],[Actual Days]]&gt;=1,"Not Met","Met")</f>
        <v>Met</v>
      </c>
      <c r="L995" t="str">
        <f>TEXT(Sheet1[[#This Row],[Open Date]],"mmm")</f>
        <v>Dec</v>
      </c>
    </row>
    <row r="996" spans="1:12" x14ac:dyDescent="0.3">
      <c r="A996" t="s">
        <v>1256</v>
      </c>
      <c r="B996" t="s">
        <v>36</v>
      </c>
      <c r="C996" t="s">
        <v>37</v>
      </c>
      <c r="D996" t="s">
        <v>87</v>
      </c>
      <c r="E996" t="s">
        <v>302</v>
      </c>
      <c r="F996" t="s">
        <v>40</v>
      </c>
      <c r="G996" t="s">
        <v>59</v>
      </c>
      <c r="H996" s="1">
        <v>45481</v>
      </c>
      <c r="I996" s="1">
        <v>45481</v>
      </c>
      <c r="J996">
        <f>Sheet1[[#This Row],[Close Date]]-Sheet1[[#This Row],[Open Date]]</f>
        <v>0</v>
      </c>
      <c r="K996" t="str">
        <f>IF(Sheet1[[#This Row],[Actual Days]]&gt;=1,"Not Met","Met")</f>
        <v>Met</v>
      </c>
      <c r="L996" t="str">
        <f>TEXT(Sheet1[[#This Row],[Open Date]],"mmm")</f>
        <v>Jul</v>
      </c>
    </row>
    <row r="997" spans="1:12" x14ac:dyDescent="0.3">
      <c r="A997" t="s">
        <v>1257</v>
      </c>
      <c r="B997" t="s">
        <v>22</v>
      </c>
      <c r="C997" t="s">
        <v>84</v>
      </c>
      <c r="D997" t="s">
        <v>15</v>
      </c>
      <c r="E997" t="s">
        <v>688</v>
      </c>
      <c r="F997" t="s">
        <v>40</v>
      </c>
      <c r="G997" t="s">
        <v>49</v>
      </c>
      <c r="H997" s="1">
        <v>45487</v>
      </c>
      <c r="I997" s="1">
        <v>45487</v>
      </c>
      <c r="J997">
        <f>Sheet1[[#This Row],[Close Date]]-Sheet1[[#This Row],[Open Date]]</f>
        <v>0</v>
      </c>
      <c r="K997" t="str">
        <f>IF(Sheet1[[#This Row],[Actual Days]]&gt;=1,"Not Met","Met")</f>
        <v>Met</v>
      </c>
      <c r="L997" t="str">
        <f>TEXT(Sheet1[[#This Row],[Open Date]],"mmm")</f>
        <v>Jul</v>
      </c>
    </row>
    <row r="998" spans="1:12" x14ac:dyDescent="0.3">
      <c r="A998" t="s">
        <v>1258</v>
      </c>
      <c r="B998" t="s">
        <v>36</v>
      </c>
      <c r="C998" t="s">
        <v>62</v>
      </c>
      <c r="D998" t="s">
        <v>156</v>
      </c>
      <c r="E998" t="s">
        <v>304</v>
      </c>
      <c r="F998" t="s">
        <v>17</v>
      </c>
      <c r="G998" t="s">
        <v>59</v>
      </c>
      <c r="H998" s="1">
        <v>45616</v>
      </c>
      <c r="I998" s="1">
        <v>45616</v>
      </c>
      <c r="J998">
        <f>Sheet1[[#This Row],[Close Date]]-Sheet1[[#This Row],[Open Date]]</f>
        <v>0</v>
      </c>
      <c r="K998" t="str">
        <f>IF(Sheet1[[#This Row],[Actual Days]]&gt;=1,"Not Met","Met")</f>
        <v>Met</v>
      </c>
      <c r="L998" t="str">
        <f>TEXT(Sheet1[[#This Row],[Open Date]],"mmm")</f>
        <v>Nov</v>
      </c>
    </row>
    <row r="999" spans="1:12" x14ac:dyDescent="0.3">
      <c r="A999" t="s">
        <v>1259</v>
      </c>
      <c r="B999" t="s">
        <v>30</v>
      </c>
      <c r="C999" t="s">
        <v>31</v>
      </c>
      <c r="D999" t="s">
        <v>94</v>
      </c>
      <c r="E999" t="s">
        <v>306</v>
      </c>
      <c r="F999" t="s">
        <v>26</v>
      </c>
      <c r="G999" t="s">
        <v>18</v>
      </c>
      <c r="H999" s="1">
        <v>45588</v>
      </c>
      <c r="I999" s="1">
        <v>45588</v>
      </c>
      <c r="J999">
        <f>Sheet1[[#This Row],[Close Date]]-Sheet1[[#This Row],[Open Date]]</f>
        <v>0</v>
      </c>
      <c r="K999" t="str">
        <f>IF(Sheet1[[#This Row],[Actual Days]]&gt;=1,"Not Met","Met")</f>
        <v>Met</v>
      </c>
      <c r="L999" t="str">
        <f>TEXT(Sheet1[[#This Row],[Open Date]],"mmm")</f>
        <v>Oct</v>
      </c>
    </row>
    <row r="1000" spans="1:12" x14ac:dyDescent="0.3">
      <c r="A1000" t="s">
        <v>1260</v>
      </c>
      <c r="B1000" t="s">
        <v>42</v>
      </c>
      <c r="C1000" t="s">
        <v>43</v>
      </c>
      <c r="D1000" t="s">
        <v>15</v>
      </c>
      <c r="E1000" t="s">
        <v>308</v>
      </c>
      <c r="F1000" t="s">
        <v>26</v>
      </c>
      <c r="G1000" t="s">
        <v>45</v>
      </c>
      <c r="H1000" s="1">
        <v>45512</v>
      </c>
      <c r="I1000" s="1">
        <v>45512</v>
      </c>
      <c r="J1000">
        <f>Sheet1[[#This Row],[Close Date]]-Sheet1[[#This Row],[Open Date]]</f>
        <v>0</v>
      </c>
      <c r="K1000" t="str">
        <f>IF(Sheet1[[#This Row],[Actual Days]]&gt;=1,"Not Met","Met")</f>
        <v>Met</v>
      </c>
      <c r="L1000" t="str">
        <f>TEXT(Sheet1[[#This Row],[Open Date]],"mmm")</f>
        <v>Aug</v>
      </c>
    </row>
    <row r="1001" spans="1:12" x14ac:dyDescent="0.3">
      <c r="A1001" t="s">
        <v>1261</v>
      </c>
      <c r="B1001" t="s">
        <v>30</v>
      </c>
      <c r="C1001" t="s">
        <v>31</v>
      </c>
      <c r="D1001" t="s">
        <v>38</v>
      </c>
      <c r="E1001" t="s">
        <v>310</v>
      </c>
      <c r="F1001" t="s">
        <v>26</v>
      </c>
      <c r="G1001" t="s">
        <v>49</v>
      </c>
      <c r="H1001" s="1">
        <v>45598</v>
      </c>
      <c r="I1001" s="1">
        <v>45598</v>
      </c>
      <c r="J1001">
        <f>Sheet1[[#This Row],[Close Date]]-Sheet1[[#This Row],[Open Date]]</f>
        <v>0</v>
      </c>
      <c r="K1001" t="str">
        <f>IF(Sheet1[[#This Row],[Actual Days]]&gt;=1,"Not Met","Met")</f>
        <v>Met</v>
      </c>
      <c r="L1001" t="str">
        <f>TEXT(Sheet1[[#This Row],[Open Date]],"mmm")</f>
        <v>Nov</v>
      </c>
    </row>
    <row r="1002" spans="1:12" x14ac:dyDescent="0.3">
      <c r="A1002" t="s">
        <v>1262</v>
      </c>
      <c r="B1002" t="s">
        <v>13</v>
      </c>
      <c r="C1002" t="s">
        <v>65</v>
      </c>
      <c r="D1002" t="s">
        <v>94</v>
      </c>
      <c r="E1002" t="s">
        <v>312</v>
      </c>
      <c r="F1002" t="s">
        <v>40</v>
      </c>
      <c r="G1002" t="s">
        <v>45</v>
      </c>
      <c r="H1002" s="1">
        <v>45582</v>
      </c>
      <c r="I1002" s="1">
        <v>45582</v>
      </c>
      <c r="J1002">
        <f>Sheet1[[#This Row],[Close Date]]-Sheet1[[#This Row],[Open Date]]</f>
        <v>0</v>
      </c>
      <c r="K1002" t="str">
        <f>IF(Sheet1[[#This Row],[Actual Days]]&gt;=1,"Not Met","Met")</f>
        <v>Met</v>
      </c>
      <c r="L1002" t="str">
        <f>TEXT(Sheet1[[#This Row],[Open Date]],"mmm")</f>
        <v>Oct</v>
      </c>
    </row>
    <row r="1003" spans="1:12" x14ac:dyDescent="0.3">
      <c r="A1003" t="s">
        <v>1263</v>
      </c>
      <c r="B1003" t="s">
        <v>30</v>
      </c>
      <c r="C1003" t="s">
        <v>51</v>
      </c>
      <c r="D1003" t="s">
        <v>73</v>
      </c>
      <c r="E1003" t="s">
        <v>314</v>
      </c>
      <c r="F1003" t="s">
        <v>17</v>
      </c>
      <c r="G1003" t="s">
        <v>18</v>
      </c>
      <c r="H1003" s="1">
        <v>45486</v>
      </c>
      <c r="I1003" s="1">
        <v>45486</v>
      </c>
      <c r="J1003">
        <f>Sheet1[[#This Row],[Close Date]]-Sheet1[[#This Row],[Open Date]]</f>
        <v>0</v>
      </c>
      <c r="K1003" t="str">
        <f>IF(Sheet1[[#This Row],[Actual Days]]&gt;=1,"Not Met","Met")</f>
        <v>Met</v>
      </c>
      <c r="L1003" t="str">
        <f>TEXT(Sheet1[[#This Row],[Open Date]],"mmm")</f>
        <v>Jul</v>
      </c>
    </row>
    <row r="1004" spans="1:12" x14ac:dyDescent="0.3">
      <c r="A1004" t="s">
        <v>1264</v>
      </c>
      <c r="B1004" t="s">
        <v>22</v>
      </c>
      <c r="C1004" t="s">
        <v>23</v>
      </c>
      <c r="D1004" t="s">
        <v>38</v>
      </c>
      <c r="E1004" t="s">
        <v>316</v>
      </c>
      <c r="F1004" t="s">
        <v>17</v>
      </c>
      <c r="G1004" t="s">
        <v>34</v>
      </c>
      <c r="H1004" s="1">
        <v>45487</v>
      </c>
      <c r="I1004" s="1">
        <v>45487</v>
      </c>
      <c r="J1004">
        <f>Sheet1[[#This Row],[Close Date]]-Sheet1[[#This Row],[Open Date]]</f>
        <v>0</v>
      </c>
      <c r="K1004" t="str">
        <f>IF(Sheet1[[#This Row],[Actual Days]]&gt;=1,"Not Met","Met")</f>
        <v>Met</v>
      </c>
      <c r="L1004" t="str">
        <f>TEXT(Sheet1[[#This Row],[Open Date]],"mmm")</f>
        <v>Jul</v>
      </c>
    </row>
    <row r="1005" spans="1:12" x14ac:dyDescent="0.3">
      <c r="A1005" t="s">
        <v>1265</v>
      </c>
      <c r="B1005" t="s">
        <v>13</v>
      </c>
      <c r="C1005" t="s">
        <v>65</v>
      </c>
      <c r="D1005" t="s">
        <v>38</v>
      </c>
      <c r="E1005" t="s">
        <v>318</v>
      </c>
      <c r="F1005" t="s">
        <v>17</v>
      </c>
      <c r="G1005" t="s">
        <v>59</v>
      </c>
      <c r="H1005" s="1">
        <v>45519</v>
      </c>
      <c r="I1005" s="1">
        <v>45519</v>
      </c>
      <c r="J1005">
        <f>Sheet1[[#This Row],[Close Date]]-Sheet1[[#This Row],[Open Date]]</f>
        <v>0</v>
      </c>
      <c r="K1005" t="str">
        <f>IF(Sheet1[[#This Row],[Actual Days]]&gt;=1,"Not Met","Met")</f>
        <v>Met</v>
      </c>
      <c r="L1005" t="str">
        <f>TEXT(Sheet1[[#This Row],[Open Date]],"mmm")</f>
        <v>Aug</v>
      </c>
    </row>
    <row r="1006" spans="1:12" x14ac:dyDescent="0.3">
      <c r="A1006" t="s">
        <v>1266</v>
      </c>
      <c r="B1006" t="s">
        <v>30</v>
      </c>
      <c r="C1006" t="s">
        <v>161</v>
      </c>
      <c r="D1006" t="s">
        <v>15</v>
      </c>
      <c r="E1006" t="s">
        <v>320</v>
      </c>
      <c r="F1006" t="s">
        <v>26</v>
      </c>
      <c r="G1006" t="s">
        <v>34</v>
      </c>
      <c r="H1006" s="1">
        <v>45484</v>
      </c>
      <c r="I1006" s="1">
        <v>45484</v>
      </c>
      <c r="J1006">
        <f>Sheet1[[#This Row],[Close Date]]-Sheet1[[#This Row],[Open Date]]</f>
        <v>0</v>
      </c>
      <c r="K1006" t="str">
        <f>IF(Sheet1[[#This Row],[Actual Days]]&gt;=1,"Not Met","Met")</f>
        <v>Met</v>
      </c>
      <c r="L1006" t="str">
        <f>TEXT(Sheet1[[#This Row],[Open Date]],"mmm")</f>
        <v>Jul</v>
      </c>
    </row>
    <row r="1007" spans="1:12" x14ac:dyDescent="0.3">
      <c r="A1007" t="s">
        <v>1267</v>
      </c>
      <c r="B1007" t="s">
        <v>36</v>
      </c>
      <c r="C1007" t="s">
        <v>76</v>
      </c>
      <c r="D1007" t="s">
        <v>38</v>
      </c>
      <c r="E1007" t="s">
        <v>322</v>
      </c>
      <c r="F1007" t="s">
        <v>40</v>
      </c>
      <c r="G1007" t="s">
        <v>59</v>
      </c>
      <c r="H1007" s="1">
        <v>45565</v>
      </c>
      <c r="I1007" s="1">
        <v>45565</v>
      </c>
      <c r="J1007">
        <f>Sheet1[[#This Row],[Close Date]]-Sheet1[[#This Row],[Open Date]]</f>
        <v>0</v>
      </c>
      <c r="K1007" t="str">
        <f>IF(Sheet1[[#This Row],[Actual Days]]&gt;=1,"Not Met","Met")</f>
        <v>Met</v>
      </c>
      <c r="L1007" t="str">
        <f>TEXT(Sheet1[[#This Row],[Open Date]],"mmm")</f>
        <v>Sep</v>
      </c>
    </row>
    <row r="1008" spans="1:12" x14ac:dyDescent="0.3">
      <c r="A1008" t="s">
        <v>1268</v>
      </c>
      <c r="B1008" t="s">
        <v>13</v>
      </c>
      <c r="C1008" t="s">
        <v>14</v>
      </c>
      <c r="D1008" t="s">
        <v>156</v>
      </c>
      <c r="E1008" t="s">
        <v>324</v>
      </c>
      <c r="F1008" t="s">
        <v>17</v>
      </c>
      <c r="G1008" t="s">
        <v>49</v>
      </c>
      <c r="H1008" s="1">
        <v>45488</v>
      </c>
      <c r="I1008" s="1">
        <v>45488</v>
      </c>
      <c r="J1008">
        <f>Sheet1[[#This Row],[Close Date]]-Sheet1[[#This Row],[Open Date]]</f>
        <v>0</v>
      </c>
      <c r="K1008" t="str">
        <f>IF(Sheet1[[#This Row],[Actual Days]]&gt;=1,"Not Met","Met")</f>
        <v>Met</v>
      </c>
      <c r="L1008" t="str">
        <f>TEXT(Sheet1[[#This Row],[Open Date]],"mmm")</f>
        <v>Jul</v>
      </c>
    </row>
    <row r="1009" spans="1:12" x14ac:dyDescent="0.3">
      <c r="A1009" t="s">
        <v>1269</v>
      </c>
      <c r="B1009" t="s">
        <v>13</v>
      </c>
      <c r="C1009" t="s">
        <v>68</v>
      </c>
      <c r="D1009" t="s">
        <v>38</v>
      </c>
      <c r="E1009" t="s">
        <v>326</v>
      </c>
      <c r="F1009" t="s">
        <v>17</v>
      </c>
      <c r="G1009" t="s">
        <v>45</v>
      </c>
      <c r="H1009" s="1">
        <v>45569</v>
      </c>
      <c r="I1009" s="1">
        <v>45569</v>
      </c>
      <c r="J1009">
        <f>Sheet1[[#This Row],[Close Date]]-Sheet1[[#This Row],[Open Date]]</f>
        <v>0</v>
      </c>
      <c r="K1009" t="str">
        <f>IF(Sheet1[[#This Row],[Actual Days]]&gt;=1,"Not Met","Met")</f>
        <v>Met</v>
      </c>
      <c r="L1009" t="str">
        <f>TEXT(Sheet1[[#This Row],[Open Date]],"mmm")</f>
        <v>Oct</v>
      </c>
    </row>
    <row r="1010" spans="1:12" x14ac:dyDescent="0.3">
      <c r="A1010" t="s">
        <v>1270</v>
      </c>
      <c r="B1010" t="s">
        <v>13</v>
      </c>
      <c r="C1010" t="s">
        <v>14</v>
      </c>
      <c r="D1010" t="s">
        <v>32</v>
      </c>
      <c r="E1010" t="s">
        <v>328</v>
      </c>
      <c r="F1010" t="s">
        <v>26</v>
      </c>
      <c r="G1010" t="s">
        <v>18</v>
      </c>
      <c r="H1010" s="1">
        <v>45515</v>
      </c>
      <c r="I1010" s="1">
        <v>45515</v>
      </c>
      <c r="J1010">
        <f>Sheet1[[#This Row],[Close Date]]-Sheet1[[#This Row],[Open Date]]</f>
        <v>0</v>
      </c>
      <c r="K1010" t="str">
        <f>IF(Sheet1[[#This Row],[Actual Days]]&gt;=1,"Not Met","Met")</f>
        <v>Met</v>
      </c>
      <c r="L1010" t="str">
        <f>TEXT(Sheet1[[#This Row],[Open Date]],"mmm")</f>
        <v>Aug</v>
      </c>
    </row>
    <row r="1011" spans="1:12" x14ac:dyDescent="0.3">
      <c r="A1011" t="s">
        <v>1271</v>
      </c>
      <c r="B1011" t="s">
        <v>22</v>
      </c>
      <c r="C1011" t="s">
        <v>101</v>
      </c>
      <c r="D1011" t="s">
        <v>38</v>
      </c>
      <c r="E1011" t="s">
        <v>330</v>
      </c>
      <c r="F1011" t="s">
        <v>26</v>
      </c>
      <c r="G1011" t="s">
        <v>59</v>
      </c>
      <c r="H1011" s="1">
        <v>45537</v>
      </c>
      <c r="I1011" s="1">
        <v>45537</v>
      </c>
      <c r="J1011">
        <f>Sheet1[[#This Row],[Close Date]]-Sheet1[[#This Row],[Open Date]]</f>
        <v>0</v>
      </c>
      <c r="K1011" t="str">
        <f>IF(Sheet1[[#This Row],[Actual Days]]&gt;=1,"Not Met","Met")</f>
        <v>Met</v>
      </c>
      <c r="L1011" t="str">
        <f>TEXT(Sheet1[[#This Row],[Open Date]],"mmm")</f>
        <v>Sep</v>
      </c>
    </row>
    <row r="1012" spans="1:12" x14ac:dyDescent="0.3">
      <c r="A1012" t="s">
        <v>1272</v>
      </c>
      <c r="B1012" t="s">
        <v>42</v>
      </c>
      <c r="C1012" t="s">
        <v>107</v>
      </c>
      <c r="D1012" t="s">
        <v>38</v>
      </c>
      <c r="E1012" t="s">
        <v>332</v>
      </c>
      <c r="F1012" t="s">
        <v>26</v>
      </c>
      <c r="G1012" t="s">
        <v>59</v>
      </c>
      <c r="H1012" s="1">
        <v>45650</v>
      </c>
      <c r="I1012" s="1">
        <v>45650</v>
      </c>
      <c r="J1012">
        <f>Sheet1[[#This Row],[Close Date]]-Sheet1[[#This Row],[Open Date]]</f>
        <v>0</v>
      </c>
      <c r="K1012" t="str">
        <f>IF(Sheet1[[#This Row],[Actual Days]]&gt;=1,"Not Met","Met")</f>
        <v>Met</v>
      </c>
      <c r="L1012" t="str">
        <f>TEXT(Sheet1[[#This Row],[Open Date]],"mmm")</f>
        <v>Dec</v>
      </c>
    </row>
    <row r="1013" spans="1:12" x14ac:dyDescent="0.3">
      <c r="A1013" t="s">
        <v>1273</v>
      </c>
      <c r="B1013" t="s">
        <v>13</v>
      </c>
      <c r="C1013" t="s">
        <v>68</v>
      </c>
      <c r="D1013" t="s">
        <v>38</v>
      </c>
      <c r="E1013" t="s">
        <v>334</v>
      </c>
      <c r="F1013" t="s">
        <v>40</v>
      </c>
      <c r="G1013" t="s">
        <v>45</v>
      </c>
      <c r="H1013" s="1">
        <v>45536</v>
      </c>
      <c r="I1013" s="1">
        <v>45536</v>
      </c>
      <c r="J1013">
        <f>Sheet1[[#This Row],[Close Date]]-Sheet1[[#This Row],[Open Date]]</f>
        <v>0</v>
      </c>
      <c r="K1013" t="str">
        <f>IF(Sheet1[[#This Row],[Actual Days]]&gt;=1,"Not Met","Met")</f>
        <v>Met</v>
      </c>
      <c r="L1013" t="str">
        <f>TEXT(Sheet1[[#This Row],[Open Date]],"mmm")</f>
        <v>Sep</v>
      </c>
    </row>
    <row r="1014" spans="1:12" x14ac:dyDescent="0.3">
      <c r="A1014" t="s">
        <v>1274</v>
      </c>
      <c r="B1014" t="s">
        <v>22</v>
      </c>
      <c r="C1014" t="s">
        <v>84</v>
      </c>
      <c r="D1014" t="s">
        <v>24</v>
      </c>
      <c r="E1014" t="s">
        <v>336</v>
      </c>
      <c r="F1014" t="s">
        <v>17</v>
      </c>
      <c r="G1014" t="s">
        <v>59</v>
      </c>
      <c r="H1014" s="1">
        <v>45521</v>
      </c>
      <c r="I1014" s="1">
        <v>45521</v>
      </c>
      <c r="J1014">
        <f>Sheet1[[#This Row],[Close Date]]-Sheet1[[#This Row],[Open Date]]</f>
        <v>0</v>
      </c>
      <c r="K1014" t="str">
        <f>IF(Sheet1[[#This Row],[Actual Days]]&gt;=1,"Not Met","Met")</f>
        <v>Met</v>
      </c>
      <c r="L1014" t="str">
        <f>TEXT(Sheet1[[#This Row],[Open Date]],"mmm")</f>
        <v>Aug</v>
      </c>
    </row>
    <row r="1015" spans="1:12" x14ac:dyDescent="0.3">
      <c r="A1015" t="s">
        <v>1275</v>
      </c>
      <c r="B1015" t="s">
        <v>13</v>
      </c>
      <c r="C1015" t="s">
        <v>14</v>
      </c>
      <c r="D1015" t="s">
        <v>73</v>
      </c>
      <c r="E1015" t="s">
        <v>338</v>
      </c>
      <c r="F1015" t="s">
        <v>40</v>
      </c>
      <c r="G1015" t="s">
        <v>49</v>
      </c>
      <c r="H1015" s="1">
        <v>45486</v>
      </c>
      <c r="I1015" s="1">
        <v>45486</v>
      </c>
      <c r="J1015">
        <f>Sheet1[[#This Row],[Close Date]]-Sheet1[[#This Row],[Open Date]]</f>
        <v>0</v>
      </c>
      <c r="K1015" t="str">
        <f>IF(Sheet1[[#This Row],[Actual Days]]&gt;=1,"Not Met","Met")</f>
        <v>Met</v>
      </c>
      <c r="L1015" t="str">
        <f>TEXT(Sheet1[[#This Row],[Open Date]],"mmm")</f>
        <v>Jul</v>
      </c>
    </row>
    <row r="1016" spans="1:12" x14ac:dyDescent="0.3">
      <c r="A1016" t="s">
        <v>1276</v>
      </c>
      <c r="B1016" t="s">
        <v>22</v>
      </c>
      <c r="C1016" t="s">
        <v>23</v>
      </c>
      <c r="D1016" t="s">
        <v>15</v>
      </c>
      <c r="E1016" t="s">
        <v>340</v>
      </c>
      <c r="F1016" t="s">
        <v>26</v>
      </c>
      <c r="G1016" t="s">
        <v>34</v>
      </c>
      <c r="H1016" s="1">
        <v>45562</v>
      </c>
      <c r="I1016" s="1">
        <v>45562</v>
      </c>
      <c r="J1016">
        <f>Sheet1[[#This Row],[Close Date]]-Sheet1[[#This Row],[Open Date]]</f>
        <v>0</v>
      </c>
      <c r="K1016" t="str">
        <f>IF(Sheet1[[#This Row],[Actual Days]]&gt;=1,"Not Met","Met")</f>
        <v>Met</v>
      </c>
      <c r="L1016" t="str">
        <f>TEXT(Sheet1[[#This Row],[Open Date]],"mmm")</f>
        <v>Sep</v>
      </c>
    </row>
    <row r="1017" spans="1:12" x14ac:dyDescent="0.3">
      <c r="A1017" t="s">
        <v>1277</v>
      </c>
      <c r="B1017" t="s">
        <v>36</v>
      </c>
      <c r="C1017" t="s">
        <v>37</v>
      </c>
      <c r="D1017" t="s">
        <v>156</v>
      </c>
      <c r="E1017" t="s">
        <v>342</v>
      </c>
      <c r="F1017" t="s">
        <v>26</v>
      </c>
      <c r="G1017" t="s">
        <v>59</v>
      </c>
      <c r="H1017" s="1">
        <v>45544</v>
      </c>
      <c r="I1017" s="1">
        <v>45544</v>
      </c>
      <c r="J1017">
        <f>Sheet1[[#This Row],[Close Date]]-Sheet1[[#This Row],[Open Date]]</f>
        <v>0</v>
      </c>
      <c r="K1017" t="str">
        <f>IF(Sheet1[[#This Row],[Actual Days]]&gt;=1,"Not Met","Met")</f>
        <v>Met</v>
      </c>
      <c r="L1017" t="str">
        <f>TEXT(Sheet1[[#This Row],[Open Date]],"mmm")</f>
        <v>Sep</v>
      </c>
    </row>
    <row r="1018" spans="1:12" x14ac:dyDescent="0.3">
      <c r="A1018" t="s">
        <v>1278</v>
      </c>
      <c r="B1018" t="s">
        <v>22</v>
      </c>
      <c r="C1018" t="s">
        <v>84</v>
      </c>
      <c r="D1018" t="s">
        <v>15</v>
      </c>
      <c r="E1018" t="s">
        <v>344</v>
      </c>
      <c r="F1018" t="s">
        <v>40</v>
      </c>
      <c r="G1018" t="s">
        <v>27</v>
      </c>
      <c r="H1018" s="1">
        <v>45588</v>
      </c>
      <c r="I1018" s="1">
        <v>45588</v>
      </c>
      <c r="J1018">
        <f>Sheet1[[#This Row],[Close Date]]-Sheet1[[#This Row],[Open Date]]</f>
        <v>0</v>
      </c>
      <c r="K1018" t="str">
        <f>IF(Sheet1[[#This Row],[Actual Days]]&gt;=1,"Not Met","Met")</f>
        <v>Met</v>
      </c>
      <c r="L1018" t="str">
        <f>TEXT(Sheet1[[#This Row],[Open Date]],"mmm")</f>
        <v>Oct</v>
      </c>
    </row>
    <row r="1019" spans="1:12" x14ac:dyDescent="0.3">
      <c r="A1019" t="s">
        <v>1279</v>
      </c>
      <c r="B1019" t="s">
        <v>30</v>
      </c>
      <c r="C1019" t="s">
        <v>161</v>
      </c>
      <c r="D1019" t="s">
        <v>87</v>
      </c>
      <c r="E1019" t="s">
        <v>346</v>
      </c>
      <c r="F1019" t="s">
        <v>17</v>
      </c>
      <c r="G1019" t="s">
        <v>18</v>
      </c>
      <c r="H1019" s="1">
        <v>45576</v>
      </c>
      <c r="I1019" s="1">
        <v>45576</v>
      </c>
      <c r="J1019">
        <f>Sheet1[[#This Row],[Close Date]]-Sheet1[[#This Row],[Open Date]]</f>
        <v>0</v>
      </c>
      <c r="K1019" t="str">
        <f>IF(Sheet1[[#This Row],[Actual Days]]&gt;=1,"Not Met","Met")</f>
        <v>Met</v>
      </c>
      <c r="L1019" t="str">
        <f>TEXT(Sheet1[[#This Row],[Open Date]],"mmm")</f>
        <v>Oct</v>
      </c>
    </row>
    <row r="1020" spans="1:12" x14ac:dyDescent="0.3">
      <c r="A1020" t="s">
        <v>1280</v>
      </c>
      <c r="B1020" t="s">
        <v>22</v>
      </c>
      <c r="C1020" t="s">
        <v>84</v>
      </c>
      <c r="D1020" t="s">
        <v>87</v>
      </c>
      <c r="E1020" t="s">
        <v>596</v>
      </c>
      <c r="F1020" t="s">
        <v>26</v>
      </c>
      <c r="G1020" t="s">
        <v>49</v>
      </c>
      <c r="H1020" s="1">
        <v>45486</v>
      </c>
      <c r="I1020" s="1">
        <v>45486</v>
      </c>
      <c r="J1020">
        <f>Sheet1[[#This Row],[Close Date]]-Sheet1[[#This Row],[Open Date]]</f>
        <v>0</v>
      </c>
      <c r="K1020" t="str">
        <f>IF(Sheet1[[#This Row],[Actual Days]]&gt;=1,"Not Met","Met")</f>
        <v>Met</v>
      </c>
      <c r="L1020" t="str">
        <f>TEXT(Sheet1[[#This Row],[Open Date]],"mmm")</f>
        <v>Jul</v>
      </c>
    </row>
    <row r="1021" spans="1:12" x14ac:dyDescent="0.3">
      <c r="A1021" t="s">
        <v>1281</v>
      </c>
      <c r="B1021" t="s">
        <v>22</v>
      </c>
      <c r="C1021" t="s">
        <v>84</v>
      </c>
      <c r="D1021" t="s">
        <v>94</v>
      </c>
      <c r="E1021" t="s">
        <v>348</v>
      </c>
      <c r="F1021" t="s">
        <v>40</v>
      </c>
      <c r="G1021" t="s">
        <v>34</v>
      </c>
      <c r="H1021" s="1">
        <v>45559</v>
      </c>
      <c r="I1021" s="1">
        <v>45559</v>
      </c>
      <c r="J1021">
        <f>Sheet1[[#This Row],[Close Date]]-Sheet1[[#This Row],[Open Date]]</f>
        <v>0</v>
      </c>
      <c r="K1021" t="str">
        <f>IF(Sheet1[[#This Row],[Actual Days]]&gt;=1,"Not Met","Met")</f>
        <v>Met</v>
      </c>
      <c r="L1021" t="str">
        <f>TEXT(Sheet1[[#This Row],[Open Date]],"mmm")</f>
        <v>Sep</v>
      </c>
    </row>
    <row r="1022" spans="1:12" x14ac:dyDescent="0.3">
      <c r="A1022" t="s">
        <v>1282</v>
      </c>
      <c r="B1022" t="s">
        <v>13</v>
      </c>
      <c r="C1022" t="s">
        <v>68</v>
      </c>
      <c r="D1022" t="s">
        <v>24</v>
      </c>
      <c r="E1022" t="s">
        <v>350</v>
      </c>
      <c r="F1022" t="s">
        <v>17</v>
      </c>
      <c r="G1022" t="s">
        <v>59</v>
      </c>
      <c r="H1022" s="1">
        <v>45497</v>
      </c>
      <c r="I1022" s="1">
        <v>45497</v>
      </c>
      <c r="J1022">
        <f>Sheet1[[#This Row],[Close Date]]-Sheet1[[#This Row],[Open Date]]</f>
        <v>0</v>
      </c>
      <c r="K1022" t="str">
        <f>IF(Sheet1[[#This Row],[Actual Days]]&gt;=1,"Not Met","Met")</f>
        <v>Met</v>
      </c>
      <c r="L1022" t="str">
        <f>TEXT(Sheet1[[#This Row],[Open Date]],"mmm")</f>
        <v>Jul</v>
      </c>
    </row>
    <row r="1023" spans="1:12" x14ac:dyDescent="0.3">
      <c r="A1023" t="s">
        <v>1283</v>
      </c>
      <c r="B1023" t="s">
        <v>36</v>
      </c>
      <c r="C1023" t="s">
        <v>76</v>
      </c>
      <c r="D1023" t="s">
        <v>32</v>
      </c>
      <c r="E1023" t="s">
        <v>352</v>
      </c>
      <c r="F1023" t="s">
        <v>40</v>
      </c>
      <c r="G1023" t="s">
        <v>27</v>
      </c>
      <c r="H1023" s="1">
        <v>45582</v>
      </c>
      <c r="I1023" s="1">
        <v>45582</v>
      </c>
      <c r="J1023">
        <f>Sheet1[[#This Row],[Close Date]]-Sheet1[[#This Row],[Open Date]]</f>
        <v>0</v>
      </c>
      <c r="K1023" t="str">
        <f>IF(Sheet1[[#This Row],[Actual Days]]&gt;=1,"Not Met","Met")</f>
        <v>Met</v>
      </c>
      <c r="L1023" t="str">
        <f>TEXT(Sheet1[[#This Row],[Open Date]],"mmm")</f>
        <v>Oct</v>
      </c>
    </row>
    <row r="1024" spans="1:12" x14ac:dyDescent="0.3">
      <c r="A1024" t="s">
        <v>1284</v>
      </c>
      <c r="B1024" t="s">
        <v>36</v>
      </c>
      <c r="C1024" t="s">
        <v>76</v>
      </c>
      <c r="D1024" t="s">
        <v>38</v>
      </c>
      <c r="E1024" t="s">
        <v>354</v>
      </c>
      <c r="F1024" t="s">
        <v>40</v>
      </c>
      <c r="G1024" t="s">
        <v>59</v>
      </c>
      <c r="H1024" s="1">
        <v>45609</v>
      </c>
      <c r="I1024" s="1">
        <v>45609</v>
      </c>
      <c r="J1024">
        <f>Sheet1[[#This Row],[Close Date]]-Sheet1[[#This Row],[Open Date]]</f>
        <v>0</v>
      </c>
      <c r="K1024" t="str">
        <f>IF(Sheet1[[#This Row],[Actual Days]]&gt;=1,"Not Met","Met")</f>
        <v>Met</v>
      </c>
      <c r="L1024" t="str">
        <f>TEXT(Sheet1[[#This Row],[Open Date]],"mmm")</f>
        <v>Nov</v>
      </c>
    </row>
    <row r="1025" spans="1:12" x14ac:dyDescent="0.3">
      <c r="A1025" t="s">
        <v>1285</v>
      </c>
      <c r="B1025" t="s">
        <v>42</v>
      </c>
      <c r="C1025" t="s">
        <v>43</v>
      </c>
      <c r="D1025" t="s">
        <v>87</v>
      </c>
      <c r="E1025" t="s">
        <v>356</v>
      </c>
      <c r="F1025" t="s">
        <v>26</v>
      </c>
      <c r="G1025" t="s">
        <v>49</v>
      </c>
      <c r="H1025" s="1">
        <v>45588</v>
      </c>
      <c r="I1025" s="1">
        <v>45588</v>
      </c>
      <c r="J1025">
        <f>Sheet1[[#This Row],[Close Date]]-Sheet1[[#This Row],[Open Date]]</f>
        <v>0</v>
      </c>
      <c r="K1025" t="str">
        <f>IF(Sheet1[[#This Row],[Actual Days]]&gt;=1,"Not Met","Met")</f>
        <v>Met</v>
      </c>
      <c r="L1025" t="str">
        <f>TEXT(Sheet1[[#This Row],[Open Date]],"mmm")</f>
        <v>Oct</v>
      </c>
    </row>
    <row r="1026" spans="1:12" x14ac:dyDescent="0.3">
      <c r="A1026" t="s">
        <v>1286</v>
      </c>
      <c r="B1026" t="s">
        <v>13</v>
      </c>
      <c r="C1026" t="s">
        <v>14</v>
      </c>
      <c r="D1026" t="s">
        <v>15</v>
      </c>
      <c r="E1026" t="s">
        <v>358</v>
      </c>
      <c r="F1026" t="s">
        <v>40</v>
      </c>
      <c r="G1026" t="s">
        <v>59</v>
      </c>
      <c r="H1026" s="1">
        <v>45515</v>
      </c>
      <c r="I1026" s="1">
        <v>45515</v>
      </c>
      <c r="J1026">
        <f>Sheet1[[#This Row],[Close Date]]-Sheet1[[#This Row],[Open Date]]</f>
        <v>0</v>
      </c>
      <c r="K1026" t="str">
        <f>IF(Sheet1[[#This Row],[Actual Days]]&gt;=1,"Not Met","Met")</f>
        <v>Met</v>
      </c>
      <c r="L1026" t="str">
        <f>TEXT(Sheet1[[#This Row],[Open Date]],"mmm")</f>
        <v>Aug</v>
      </c>
    </row>
    <row r="1027" spans="1:12" x14ac:dyDescent="0.3">
      <c r="A1027" t="s">
        <v>1287</v>
      </c>
      <c r="B1027" t="s">
        <v>36</v>
      </c>
      <c r="C1027" t="s">
        <v>37</v>
      </c>
      <c r="D1027" t="s">
        <v>156</v>
      </c>
      <c r="E1027" t="s">
        <v>360</v>
      </c>
      <c r="F1027" t="s">
        <v>17</v>
      </c>
      <c r="G1027" t="s">
        <v>18</v>
      </c>
      <c r="H1027" s="1">
        <v>45563</v>
      </c>
      <c r="I1027" s="1">
        <v>45563</v>
      </c>
      <c r="J1027">
        <f>Sheet1[[#This Row],[Close Date]]-Sheet1[[#This Row],[Open Date]]</f>
        <v>0</v>
      </c>
      <c r="K1027" t="str">
        <f>IF(Sheet1[[#This Row],[Actual Days]]&gt;=1,"Not Met","Met")</f>
        <v>Met</v>
      </c>
      <c r="L1027" t="str">
        <f>TEXT(Sheet1[[#This Row],[Open Date]],"mmm")</f>
        <v>Sep</v>
      </c>
    </row>
    <row r="1028" spans="1:12" x14ac:dyDescent="0.3">
      <c r="A1028" t="s">
        <v>1288</v>
      </c>
      <c r="B1028" t="s">
        <v>22</v>
      </c>
      <c r="C1028" t="s">
        <v>84</v>
      </c>
      <c r="D1028" t="s">
        <v>87</v>
      </c>
      <c r="E1028" t="s">
        <v>362</v>
      </c>
      <c r="F1028" t="s">
        <v>17</v>
      </c>
      <c r="G1028" t="s">
        <v>45</v>
      </c>
      <c r="H1028" s="1">
        <v>45630</v>
      </c>
      <c r="I1028" s="1">
        <v>45630</v>
      </c>
      <c r="J1028">
        <f>Sheet1[[#This Row],[Close Date]]-Sheet1[[#This Row],[Open Date]]</f>
        <v>0</v>
      </c>
      <c r="K1028" t="str">
        <f>IF(Sheet1[[#This Row],[Actual Days]]&gt;=1,"Not Met","Met")</f>
        <v>Met</v>
      </c>
      <c r="L1028" t="str">
        <f>TEXT(Sheet1[[#This Row],[Open Date]],"mmm")</f>
        <v>Dec</v>
      </c>
    </row>
    <row r="1029" spans="1:12" x14ac:dyDescent="0.3">
      <c r="A1029" t="s">
        <v>1289</v>
      </c>
      <c r="B1029" t="s">
        <v>30</v>
      </c>
      <c r="C1029" t="s">
        <v>31</v>
      </c>
      <c r="D1029" t="s">
        <v>32</v>
      </c>
      <c r="E1029" t="s">
        <v>33</v>
      </c>
      <c r="F1029" t="s">
        <v>26</v>
      </c>
      <c r="G1029" t="s">
        <v>34</v>
      </c>
      <c r="H1029" s="1">
        <v>45513</v>
      </c>
      <c r="I1029" s="1">
        <v>45513</v>
      </c>
      <c r="J1029">
        <f>Sheet1[[#This Row],[Close Date]]-Sheet1[[#This Row],[Open Date]]</f>
        <v>0</v>
      </c>
      <c r="K1029" t="str">
        <f>IF(Sheet1[[#This Row],[Actual Days]]&gt;=1,"Not Met","Met")</f>
        <v>Met</v>
      </c>
      <c r="L1029" t="str">
        <f>TEXT(Sheet1[[#This Row],[Open Date]],"mmm")</f>
        <v>Aug</v>
      </c>
    </row>
    <row r="1030" spans="1:12" x14ac:dyDescent="0.3">
      <c r="A1030" t="s">
        <v>1290</v>
      </c>
      <c r="B1030" t="s">
        <v>30</v>
      </c>
      <c r="C1030" t="s">
        <v>51</v>
      </c>
      <c r="D1030" t="s">
        <v>15</v>
      </c>
      <c r="E1030" t="s">
        <v>52</v>
      </c>
      <c r="F1030" t="s">
        <v>40</v>
      </c>
      <c r="G1030" t="s">
        <v>49</v>
      </c>
      <c r="H1030" s="1">
        <v>45496</v>
      </c>
      <c r="I1030" s="1">
        <v>45496</v>
      </c>
      <c r="J1030">
        <f>Sheet1[[#This Row],[Close Date]]-Sheet1[[#This Row],[Open Date]]</f>
        <v>0</v>
      </c>
      <c r="K1030" t="str">
        <f>IF(Sheet1[[#This Row],[Actual Days]]&gt;=1,"Not Met","Met")</f>
        <v>Met</v>
      </c>
      <c r="L1030" t="str">
        <f>TEXT(Sheet1[[#This Row],[Open Date]],"mmm")</f>
        <v>Jul</v>
      </c>
    </row>
    <row r="1031" spans="1:12" x14ac:dyDescent="0.3">
      <c r="A1031" t="s">
        <v>1291</v>
      </c>
      <c r="B1031" t="s">
        <v>30</v>
      </c>
      <c r="C1031" t="s">
        <v>51</v>
      </c>
      <c r="D1031" t="s">
        <v>32</v>
      </c>
      <c r="E1031" t="s">
        <v>55</v>
      </c>
      <c r="F1031" t="s">
        <v>17</v>
      </c>
      <c r="G1031" t="s">
        <v>34</v>
      </c>
      <c r="H1031" s="1">
        <v>45583</v>
      </c>
      <c r="I1031" s="1">
        <v>45583</v>
      </c>
      <c r="J1031">
        <f>Sheet1[[#This Row],[Close Date]]-Sheet1[[#This Row],[Open Date]]</f>
        <v>0</v>
      </c>
      <c r="K1031" t="str">
        <f>IF(Sheet1[[#This Row],[Actual Days]]&gt;=1,"Not Met","Met")</f>
        <v>Met</v>
      </c>
      <c r="L1031" t="str">
        <f>TEXT(Sheet1[[#This Row],[Open Date]],"mmm")</f>
        <v>Oct</v>
      </c>
    </row>
    <row r="1032" spans="1:12" x14ac:dyDescent="0.3">
      <c r="A1032" t="s">
        <v>1292</v>
      </c>
      <c r="B1032" t="s">
        <v>30</v>
      </c>
      <c r="C1032" t="s">
        <v>51</v>
      </c>
      <c r="D1032" t="s">
        <v>38</v>
      </c>
      <c r="E1032" t="s">
        <v>92</v>
      </c>
      <c r="F1032" t="s">
        <v>40</v>
      </c>
      <c r="G1032" t="s">
        <v>18</v>
      </c>
      <c r="H1032" s="1">
        <v>45511</v>
      </c>
      <c r="I1032" s="1">
        <v>45511</v>
      </c>
      <c r="J1032">
        <f>Sheet1[[#This Row],[Close Date]]-Sheet1[[#This Row],[Open Date]]</f>
        <v>0</v>
      </c>
      <c r="K1032" t="str">
        <f>IF(Sheet1[[#This Row],[Actual Days]]&gt;=1,"Not Met","Met")</f>
        <v>Met</v>
      </c>
      <c r="L1032" t="str">
        <f>TEXT(Sheet1[[#This Row],[Open Date]],"mmm")</f>
        <v>Aug</v>
      </c>
    </row>
    <row r="1033" spans="1:12" x14ac:dyDescent="0.3">
      <c r="A1033" t="s">
        <v>1293</v>
      </c>
      <c r="B1033" t="s">
        <v>30</v>
      </c>
      <c r="C1033" t="s">
        <v>51</v>
      </c>
      <c r="D1033" t="s">
        <v>38</v>
      </c>
      <c r="E1033" t="s">
        <v>116</v>
      </c>
      <c r="F1033" t="s">
        <v>40</v>
      </c>
      <c r="G1033" t="s">
        <v>18</v>
      </c>
      <c r="H1033" s="1">
        <v>45614</v>
      </c>
      <c r="I1033" s="1">
        <v>45614</v>
      </c>
      <c r="J1033">
        <f>Sheet1[[#This Row],[Close Date]]-Sheet1[[#This Row],[Open Date]]</f>
        <v>0</v>
      </c>
      <c r="K1033" t="str">
        <f>IF(Sheet1[[#This Row],[Actual Days]]&gt;=1,"Not Met","Met")</f>
        <v>Met</v>
      </c>
      <c r="L1033" t="str">
        <f>TEXT(Sheet1[[#This Row],[Open Date]],"mmm")</f>
        <v>Nov</v>
      </c>
    </row>
    <row r="1034" spans="1:12" x14ac:dyDescent="0.3">
      <c r="A1034" t="s">
        <v>1294</v>
      </c>
      <c r="B1034" t="s">
        <v>30</v>
      </c>
      <c r="C1034" t="s">
        <v>31</v>
      </c>
      <c r="D1034" t="s">
        <v>32</v>
      </c>
      <c r="E1034" t="s">
        <v>144</v>
      </c>
      <c r="F1034" t="s">
        <v>40</v>
      </c>
      <c r="G1034" t="s">
        <v>45</v>
      </c>
      <c r="H1034" s="1">
        <v>45503</v>
      </c>
      <c r="I1034" s="1">
        <v>45503</v>
      </c>
      <c r="J1034">
        <f>Sheet1[[#This Row],[Close Date]]-Sheet1[[#This Row],[Open Date]]</f>
        <v>0</v>
      </c>
      <c r="K1034" t="str">
        <f>IF(Sheet1[[#This Row],[Actual Days]]&gt;=1,"Not Met","Met")</f>
        <v>Met</v>
      </c>
      <c r="L1034" t="str">
        <f>TEXT(Sheet1[[#This Row],[Open Date]],"mmm")</f>
        <v>Jul</v>
      </c>
    </row>
    <row r="1035" spans="1:12" x14ac:dyDescent="0.3">
      <c r="A1035" t="s">
        <v>1295</v>
      </c>
      <c r="B1035" t="s">
        <v>30</v>
      </c>
      <c r="C1035" t="s">
        <v>31</v>
      </c>
      <c r="D1035" t="s">
        <v>87</v>
      </c>
      <c r="E1035" t="s">
        <v>146</v>
      </c>
      <c r="F1035" t="s">
        <v>40</v>
      </c>
      <c r="G1035" t="s">
        <v>27</v>
      </c>
      <c r="H1035" s="1">
        <v>45602</v>
      </c>
      <c r="I1035" s="1">
        <v>45602</v>
      </c>
      <c r="J1035">
        <f>Sheet1[[#This Row],[Close Date]]-Sheet1[[#This Row],[Open Date]]</f>
        <v>0</v>
      </c>
      <c r="K1035" t="str">
        <f>IF(Sheet1[[#This Row],[Actual Days]]&gt;=1,"Not Met","Met")</f>
        <v>Met</v>
      </c>
      <c r="L1035" t="str">
        <f>TEXT(Sheet1[[#This Row],[Open Date]],"mmm")</f>
        <v>Nov</v>
      </c>
    </row>
    <row r="1036" spans="1:12" x14ac:dyDescent="0.3">
      <c r="A1036" t="s">
        <v>1296</v>
      </c>
      <c r="B1036" t="s">
        <v>30</v>
      </c>
      <c r="C1036" t="s">
        <v>161</v>
      </c>
      <c r="D1036" t="s">
        <v>24</v>
      </c>
      <c r="E1036" t="s">
        <v>162</v>
      </c>
      <c r="F1036" t="s">
        <v>17</v>
      </c>
      <c r="G1036" t="s">
        <v>45</v>
      </c>
      <c r="H1036" s="1">
        <v>45607</v>
      </c>
      <c r="I1036" s="1">
        <v>45607</v>
      </c>
      <c r="J1036">
        <f>Sheet1[[#This Row],[Close Date]]-Sheet1[[#This Row],[Open Date]]</f>
        <v>0</v>
      </c>
      <c r="K1036" t="str">
        <f>IF(Sheet1[[#This Row],[Actual Days]]&gt;=1,"Not Met","Met")</f>
        <v>Met</v>
      </c>
      <c r="L1036" t="str">
        <f>TEXT(Sheet1[[#This Row],[Open Date]],"mmm")</f>
        <v>Nov</v>
      </c>
    </row>
    <row r="1037" spans="1:12" x14ac:dyDescent="0.3">
      <c r="A1037" t="s">
        <v>1297</v>
      </c>
      <c r="B1037" t="s">
        <v>30</v>
      </c>
      <c r="C1037" t="s">
        <v>51</v>
      </c>
      <c r="D1037" t="s">
        <v>38</v>
      </c>
      <c r="E1037" t="s">
        <v>180</v>
      </c>
      <c r="F1037" t="s">
        <v>40</v>
      </c>
      <c r="G1037" t="s">
        <v>34</v>
      </c>
      <c r="H1037" s="1">
        <v>45614</v>
      </c>
      <c r="I1037" s="1">
        <v>45614</v>
      </c>
      <c r="J1037">
        <f>Sheet1[[#This Row],[Close Date]]-Sheet1[[#This Row],[Open Date]]</f>
        <v>0</v>
      </c>
      <c r="K1037" t="str">
        <f>IF(Sheet1[[#This Row],[Actual Days]]&gt;=1,"Not Met","Met")</f>
        <v>Met</v>
      </c>
      <c r="L1037" t="str">
        <f>TEXT(Sheet1[[#This Row],[Open Date]],"mmm")</f>
        <v>Nov</v>
      </c>
    </row>
    <row r="1038" spans="1:12" x14ac:dyDescent="0.3">
      <c r="A1038" t="s">
        <v>1298</v>
      </c>
      <c r="B1038" t="s">
        <v>30</v>
      </c>
      <c r="C1038" t="s">
        <v>51</v>
      </c>
      <c r="D1038" t="s">
        <v>38</v>
      </c>
      <c r="E1038" t="s">
        <v>186</v>
      </c>
      <c r="F1038" t="s">
        <v>40</v>
      </c>
      <c r="G1038" t="s">
        <v>18</v>
      </c>
      <c r="H1038" s="1">
        <v>45605</v>
      </c>
      <c r="I1038" s="1">
        <v>45605</v>
      </c>
      <c r="J1038">
        <f>Sheet1[[#This Row],[Close Date]]-Sheet1[[#This Row],[Open Date]]</f>
        <v>0</v>
      </c>
      <c r="K1038" t="str">
        <f>IF(Sheet1[[#This Row],[Actual Days]]&gt;=1,"Not Met","Met")</f>
        <v>Met</v>
      </c>
      <c r="L1038" t="str">
        <f>TEXT(Sheet1[[#This Row],[Open Date]],"mmm")</f>
        <v>Nov</v>
      </c>
    </row>
    <row r="1039" spans="1:12" x14ac:dyDescent="0.3">
      <c r="A1039" t="s">
        <v>1299</v>
      </c>
      <c r="B1039" t="s">
        <v>30</v>
      </c>
      <c r="C1039" t="s">
        <v>161</v>
      </c>
      <c r="D1039" t="s">
        <v>32</v>
      </c>
      <c r="E1039" t="s">
        <v>188</v>
      </c>
      <c r="F1039" t="s">
        <v>40</v>
      </c>
      <c r="G1039" t="s">
        <v>18</v>
      </c>
      <c r="H1039" s="1">
        <v>45491</v>
      </c>
      <c r="I1039" s="1">
        <v>45491</v>
      </c>
      <c r="J1039">
        <f>Sheet1[[#This Row],[Close Date]]-Sheet1[[#This Row],[Open Date]]</f>
        <v>0</v>
      </c>
      <c r="K1039" t="str">
        <f>IF(Sheet1[[#This Row],[Actual Days]]&gt;=1,"Not Met","Met")</f>
        <v>Met</v>
      </c>
      <c r="L1039" t="str">
        <f>TEXT(Sheet1[[#This Row],[Open Date]],"mmm")</f>
        <v>Jul</v>
      </c>
    </row>
    <row r="1040" spans="1:12" x14ac:dyDescent="0.3">
      <c r="A1040" t="s">
        <v>1300</v>
      </c>
      <c r="B1040" t="s">
        <v>30</v>
      </c>
      <c r="C1040" t="s">
        <v>31</v>
      </c>
      <c r="D1040" t="s">
        <v>24</v>
      </c>
      <c r="E1040" t="s">
        <v>192</v>
      </c>
      <c r="F1040" t="s">
        <v>26</v>
      </c>
      <c r="G1040" t="s">
        <v>27</v>
      </c>
      <c r="H1040" s="1">
        <v>45589</v>
      </c>
      <c r="I1040" s="1">
        <v>45589</v>
      </c>
      <c r="J1040">
        <f>Sheet1[[#This Row],[Close Date]]-Sheet1[[#This Row],[Open Date]]</f>
        <v>0</v>
      </c>
      <c r="K1040" t="str">
        <f>IF(Sheet1[[#This Row],[Actual Days]]&gt;=1,"Not Met","Met")</f>
        <v>Met</v>
      </c>
      <c r="L1040" t="str">
        <f>TEXT(Sheet1[[#This Row],[Open Date]],"mmm")</f>
        <v>Oct</v>
      </c>
    </row>
    <row r="1041" spans="1:12" x14ac:dyDescent="0.3">
      <c r="A1041" t="s">
        <v>1301</v>
      </c>
      <c r="B1041" t="s">
        <v>30</v>
      </c>
      <c r="C1041" t="s">
        <v>161</v>
      </c>
      <c r="D1041" t="s">
        <v>15</v>
      </c>
      <c r="E1041" t="s">
        <v>196</v>
      </c>
      <c r="F1041" t="s">
        <v>17</v>
      </c>
      <c r="G1041" t="s">
        <v>45</v>
      </c>
      <c r="H1041" s="1">
        <v>45591</v>
      </c>
      <c r="I1041" s="1">
        <v>45591</v>
      </c>
      <c r="J1041">
        <f>Sheet1[[#This Row],[Close Date]]-Sheet1[[#This Row],[Open Date]]</f>
        <v>0</v>
      </c>
      <c r="K1041" t="str">
        <f>IF(Sheet1[[#This Row],[Actual Days]]&gt;=1,"Not Met","Met")</f>
        <v>Met</v>
      </c>
      <c r="L1041" t="str">
        <f>TEXT(Sheet1[[#This Row],[Open Date]],"mmm")</f>
        <v>Oct</v>
      </c>
    </row>
    <row r="1042" spans="1:12" x14ac:dyDescent="0.3">
      <c r="A1042" t="s">
        <v>1302</v>
      </c>
      <c r="B1042" t="s">
        <v>30</v>
      </c>
      <c r="C1042" t="s">
        <v>161</v>
      </c>
      <c r="D1042" t="s">
        <v>24</v>
      </c>
      <c r="E1042" t="s">
        <v>200</v>
      </c>
      <c r="F1042" t="s">
        <v>17</v>
      </c>
      <c r="G1042" t="s">
        <v>34</v>
      </c>
      <c r="H1042" s="1">
        <v>45580</v>
      </c>
      <c r="I1042" s="1">
        <v>45580</v>
      </c>
      <c r="J1042">
        <f>Sheet1[[#This Row],[Close Date]]-Sheet1[[#This Row],[Open Date]]</f>
        <v>0</v>
      </c>
      <c r="K1042" t="str">
        <f>IF(Sheet1[[#This Row],[Actual Days]]&gt;=1,"Not Met","Met")</f>
        <v>Met</v>
      </c>
      <c r="L1042" t="str">
        <f>TEXT(Sheet1[[#This Row],[Open Date]],"mmm")</f>
        <v>Oct</v>
      </c>
    </row>
    <row r="1043" spans="1:12" x14ac:dyDescent="0.3">
      <c r="A1043" t="s">
        <v>1303</v>
      </c>
      <c r="B1043" t="s">
        <v>30</v>
      </c>
      <c r="C1043" t="s">
        <v>31</v>
      </c>
      <c r="D1043" t="s">
        <v>94</v>
      </c>
      <c r="E1043" t="s">
        <v>214</v>
      </c>
      <c r="F1043" t="s">
        <v>17</v>
      </c>
      <c r="G1043" t="s">
        <v>34</v>
      </c>
      <c r="H1043" s="1">
        <v>45600</v>
      </c>
      <c r="I1043" s="1">
        <v>45600</v>
      </c>
      <c r="J1043">
        <f>Sheet1[[#This Row],[Close Date]]-Sheet1[[#This Row],[Open Date]]</f>
        <v>0</v>
      </c>
      <c r="K1043" t="str">
        <f>IF(Sheet1[[#This Row],[Actual Days]]&gt;=1,"Not Met","Met")</f>
        <v>Met</v>
      </c>
      <c r="L1043" t="str">
        <f>TEXT(Sheet1[[#This Row],[Open Date]],"mmm")</f>
        <v>Nov</v>
      </c>
    </row>
    <row r="1044" spans="1:12" x14ac:dyDescent="0.3">
      <c r="A1044" t="s">
        <v>1304</v>
      </c>
      <c r="B1044" t="s">
        <v>30</v>
      </c>
      <c r="C1044" t="s">
        <v>161</v>
      </c>
      <c r="D1044" t="s">
        <v>73</v>
      </c>
      <c r="E1044" t="s">
        <v>218</v>
      </c>
      <c r="F1044" t="s">
        <v>17</v>
      </c>
      <c r="G1044" t="s">
        <v>45</v>
      </c>
      <c r="H1044" s="1">
        <v>45540</v>
      </c>
      <c r="I1044" s="1">
        <v>45540</v>
      </c>
      <c r="J1044">
        <f>Sheet1[[#This Row],[Close Date]]-Sheet1[[#This Row],[Open Date]]</f>
        <v>0</v>
      </c>
      <c r="K1044" t="str">
        <f>IF(Sheet1[[#This Row],[Actual Days]]&gt;=1,"Not Met","Met")</f>
        <v>Met</v>
      </c>
      <c r="L1044" t="str">
        <f>TEXT(Sheet1[[#This Row],[Open Date]],"mmm")</f>
        <v>Sep</v>
      </c>
    </row>
    <row r="1045" spans="1:12" x14ac:dyDescent="0.3">
      <c r="A1045" t="s">
        <v>1305</v>
      </c>
      <c r="B1045" t="s">
        <v>30</v>
      </c>
      <c r="C1045" t="s">
        <v>51</v>
      </c>
      <c r="D1045" t="s">
        <v>73</v>
      </c>
      <c r="E1045" t="s">
        <v>226</v>
      </c>
      <c r="F1045" t="s">
        <v>17</v>
      </c>
      <c r="G1045" t="s">
        <v>34</v>
      </c>
      <c r="H1045" s="1">
        <v>45561</v>
      </c>
      <c r="I1045" s="1">
        <v>45561</v>
      </c>
      <c r="J1045">
        <f>Sheet1[[#This Row],[Close Date]]-Sheet1[[#This Row],[Open Date]]</f>
        <v>0</v>
      </c>
      <c r="K1045" t="str">
        <f>IF(Sheet1[[#This Row],[Actual Days]]&gt;=1,"Not Met","Met")</f>
        <v>Met</v>
      </c>
      <c r="L1045" t="str">
        <f>TEXT(Sheet1[[#This Row],[Open Date]],"mmm")</f>
        <v>Sep</v>
      </c>
    </row>
    <row r="1046" spans="1:12" x14ac:dyDescent="0.3">
      <c r="A1046" t="s">
        <v>1306</v>
      </c>
      <c r="B1046" t="s">
        <v>30</v>
      </c>
      <c r="C1046" t="s">
        <v>161</v>
      </c>
      <c r="D1046" t="s">
        <v>38</v>
      </c>
      <c r="E1046" t="s">
        <v>230</v>
      </c>
      <c r="F1046" t="s">
        <v>26</v>
      </c>
      <c r="G1046" t="s">
        <v>27</v>
      </c>
      <c r="H1046" s="1">
        <v>45592</v>
      </c>
      <c r="I1046" s="1">
        <v>45592</v>
      </c>
      <c r="J1046">
        <f>Sheet1[[#This Row],[Close Date]]-Sheet1[[#This Row],[Open Date]]</f>
        <v>0</v>
      </c>
      <c r="K1046" t="str">
        <f>IF(Sheet1[[#This Row],[Actual Days]]&gt;=1,"Not Met","Met")</f>
        <v>Met</v>
      </c>
      <c r="L1046" t="str">
        <f>TEXT(Sheet1[[#This Row],[Open Date]],"mmm")</f>
        <v>Oct</v>
      </c>
    </row>
    <row r="1047" spans="1:12" x14ac:dyDescent="0.3">
      <c r="A1047" t="s">
        <v>1307</v>
      </c>
      <c r="B1047" t="s">
        <v>30</v>
      </c>
      <c r="C1047" t="s">
        <v>161</v>
      </c>
      <c r="D1047" t="s">
        <v>38</v>
      </c>
      <c r="E1047" t="s">
        <v>242</v>
      </c>
      <c r="F1047" t="s">
        <v>40</v>
      </c>
      <c r="G1047" t="s">
        <v>59</v>
      </c>
      <c r="H1047" s="1">
        <v>45556</v>
      </c>
      <c r="I1047" s="1">
        <v>45556</v>
      </c>
      <c r="J1047">
        <f>Sheet1[[#This Row],[Close Date]]-Sheet1[[#This Row],[Open Date]]</f>
        <v>0</v>
      </c>
      <c r="K1047" t="str">
        <f>IF(Sheet1[[#This Row],[Actual Days]]&gt;=1,"Not Met","Met")</f>
        <v>Met</v>
      </c>
      <c r="L1047" t="str">
        <f>TEXT(Sheet1[[#This Row],[Open Date]],"mmm")</f>
        <v>Sep</v>
      </c>
    </row>
    <row r="1048" spans="1:12" x14ac:dyDescent="0.3">
      <c r="A1048" t="s">
        <v>1308</v>
      </c>
      <c r="B1048" t="s">
        <v>30</v>
      </c>
      <c r="C1048" t="s">
        <v>31</v>
      </c>
      <c r="D1048" t="s">
        <v>94</v>
      </c>
      <c r="E1048" t="s">
        <v>252</v>
      </c>
      <c r="F1048" t="s">
        <v>40</v>
      </c>
      <c r="G1048" t="s">
        <v>18</v>
      </c>
      <c r="H1048" s="1">
        <v>45540</v>
      </c>
      <c r="I1048" s="1">
        <v>45541</v>
      </c>
      <c r="J1048">
        <f>Sheet1[[#This Row],[Close Date]]-Sheet1[[#This Row],[Open Date]]</f>
        <v>1</v>
      </c>
      <c r="K1048" t="str">
        <f>IF(Sheet1[[#This Row],[Actual Days]]&gt;=1,"Not Met","Met")</f>
        <v>Not Met</v>
      </c>
      <c r="L1048" t="str">
        <f>TEXT(Sheet1[[#This Row],[Open Date]],"mmm")</f>
        <v>Sep</v>
      </c>
    </row>
    <row r="1049" spans="1:12" x14ac:dyDescent="0.3">
      <c r="A1049" t="s">
        <v>1309</v>
      </c>
      <c r="B1049" t="s">
        <v>30</v>
      </c>
      <c r="C1049" t="s">
        <v>51</v>
      </c>
      <c r="D1049" t="s">
        <v>94</v>
      </c>
      <c r="E1049" t="s">
        <v>260</v>
      </c>
      <c r="F1049" t="s">
        <v>40</v>
      </c>
      <c r="G1049" t="s">
        <v>27</v>
      </c>
      <c r="H1049" s="1">
        <v>45599</v>
      </c>
      <c r="I1049" s="1">
        <v>45599</v>
      </c>
      <c r="J1049">
        <f>Sheet1[[#This Row],[Close Date]]-Sheet1[[#This Row],[Open Date]]</f>
        <v>0</v>
      </c>
      <c r="K1049" t="str">
        <f>IF(Sheet1[[#This Row],[Actual Days]]&gt;=1,"Not Met","Met")</f>
        <v>Met</v>
      </c>
      <c r="L1049" t="str">
        <f>TEXT(Sheet1[[#This Row],[Open Date]],"mmm")</f>
        <v>Nov</v>
      </c>
    </row>
    <row r="1050" spans="1:12" x14ac:dyDescent="0.3">
      <c r="A1050" t="s">
        <v>1310</v>
      </c>
      <c r="B1050" t="s">
        <v>30</v>
      </c>
      <c r="C1050" t="s">
        <v>51</v>
      </c>
      <c r="D1050" t="s">
        <v>156</v>
      </c>
      <c r="E1050" t="s">
        <v>266</v>
      </c>
      <c r="F1050" t="s">
        <v>17</v>
      </c>
      <c r="G1050" t="s">
        <v>45</v>
      </c>
      <c r="H1050" s="1">
        <v>45595</v>
      </c>
      <c r="I1050" s="1">
        <v>45595</v>
      </c>
      <c r="J1050">
        <f>Sheet1[[#This Row],[Close Date]]-Sheet1[[#This Row],[Open Date]]</f>
        <v>0</v>
      </c>
      <c r="K1050" t="str">
        <f>IF(Sheet1[[#This Row],[Actual Days]]&gt;=1,"Not Met","Met")</f>
        <v>Met</v>
      </c>
      <c r="L1050" t="str">
        <f>TEXT(Sheet1[[#This Row],[Open Date]],"mmm")</f>
        <v>Oct</v>
      </c>
    </row>
    <row r="1051" spans="1:12" x14ac:dyDescent="0.3">
      <c r="A1051" t="s">
        <v>1311</v>
      </c>
      <c r="B1051" t="s">
        <v>30</v>
      </c>
      <c r="C1051" t="s">
        <v>51</v>
      </c>
      <c r="D1051" t="s">
        <v>38</v>
      </c>
      <c r="E1051" t="s">
        <v>272</v>
      </c>
      <c r="F1051" t="s">
        <v>40</v>
      </c>
      <c r="G1051" t="s">
        <v>27</v>
      </c>
      <c r="H1051" s="1">
        <v>45540</v>
      </c>
      <c r="I1051" s="1">
        <v>45541</v>
      </c>
      <c r="J1051">
        <f>Sheet1[[#This Row],[Close Date]]-Sheet1[[#This Row],[Open Date]]</f>
        <v>1</v>
      </c>
      <c r="K1051" t="str">
        <f>IF(Sheet1[[#This Row],[Actual Days]]&gt;=1,"Not Met","Met")</f>
        <v>Not Met</v>
      </c>
      <c r="L1051" t="str">
        <f>TEXT(Sheet1[[#This Row],[Open Date]],"mmm")</f>
        <v>Sep</v>
      </c>
    </row>
    <row r="1052" spans="1:12" x14ac:dyDescent="0.3">
      <c r="A1052" t="s">
        <v>1312</v>
      </c>
      <c r="B1052" t="s">
        <v>30</v>
      </c>
      <c r="C1052" t="s">
        <v>31</v>
      </c>
      <c r="D1052" t="s">
        <v>38</v>
      </c>
      <c r="E1052" t="s">
        <v>274</v>
      </c>
      <c r="F1052" t="s">
        <v>40</v>
      </c>
      <c r="G1052" t="s">
        <v>34</v>
      </c>
      <c r="H1052" s="1">
        <v>45614</v>
      </c>
      <c r="I1052" s="1">
        <v>45614</v>
      </c>
      <c r="J1052">
        <f>Sheet1[[#This Row],[Close Date]]-Sheet1[[#This Row],[Open Date]]</f>
        <v>0</v>
      </c>
      <c r="K1052" t="str">
        <f>IF(Sheet1[[#This Row],[Actual Days]]&gt;=1,"Not Met","Met")</f>
        <v>Met</v>
      </c>
      <c r="L1052" t="str">
        <f>TEXT(Sheet1[[#This Row],[Open Date]],"mmm")</f>
        <v>Nov</v>
      </c>
    </row>
    <row r="1053" spans="1:12" x14ac:dyDescent="0.3">
      <c r="A1053" t="s">
        <v>1313</v>
      </c>
      <c r="B1053" t="s">
        <v>30</v>
      </c>
      <c r="C1053" t="s">
        <v>161</v>
      </c>
      <c r="D1053" t="s">
        <v>38</v>
      </c>
      <c r="E1053" t="s">
        <v>280</v>
      </c>
      <c r="F1053" t="s">
        <v>26</v>
      </c>
      <c r="G1053" t="s">
        <v>49</v>
      </c>
      <c r="H1053" s="1">
        <v>45495</v>
      </c>
      <c r="I1053" s="1">
        <v>45495</v>
      </c>
      <c r="J1053">
        <f>Sheet1[[#This Row],[Close Date]]-Sheet1[[#This Row],[Open Date]]</f>
        <v>0</v>
      </c>
      <c r="K1053" t="str">
        <f>IF(Sheet1[[#This Row],[Actual Days]]&gt;=1,"Not Met","Met")</f>
        <v>Met</v>
      </c>
      <c r="L1053" t="str">
        <f>TEXT(Sheet1[[#This Row],[Open Date]],"mmm")</f>
        <v>Jul</v>
      </c>
    </row>
    <row r="1054" spans="1:12" x14ac:dyDescent="0.3">
      <c r="A1054" t="s">
        <v>1314</v>
      </c>
      <c r="B1054" t="s">
        <v>30</v>
      </c>
      <c r="C1054" t="s">
        <v>31</v>
      </c>
      <c r="D1054" t="s">
        <v>73</v>
      </c>
      <c r="E1054" t="s">
        <v>288</v>
      </c>
      <c r="F1054" t="s">
        <v>26</v>
      </c>
      <c r="G1054" t="s">
        <v>27</v>
      </c>
      <c r="H1054" s="1">
        <v>45616</v>
      </c>
      <c r="I1054" s="1">
        <v>45616</v>
      </c>
      <c r="J1054">
        <f>Sheet1[[#This Row],[Close Date]]-Sheet1[[#This Row],[Open Date]]</f>
        <v>0</v>
      </c>
      <c r="K1054" t="str">
        <f>IF(Sheet1[[#This Row],[Actual Days]]&gt;=1,"Not Met","Met")</f>
        <v>Met</v>
      </c>
      <c r="L1054" t="str">
        <f>TEXT(Sheet1[[#This Row],[Open Date]],"mmm")</f>
        <v>Nov</v>
      </c>
    </row>
    <row r="1055" spans="1:12" x14ac:dyDescent="0.3">
      <c r="A1055" t="s">
        <v>1315</v>
      </c>
      <c r="B1055" t="s">
        <v>30</v>
      </c>
      <c r="C1055" t="s">
        <v>161</v>
      </c>
      <c r="D1055" t="s">
        <v>87</v>
      </c>
      <c r="E1055" t="s">
        <v>290</v>
      </c>
      <c r="F1055" t="s">
        <v>40</v>
      </c>
      <c r="G1055" t="s">
        <v>59</v>
      </c>
      <c r="H1055" s="1">
        <v>45478</v>
      </c>
      <c r="I1055" s="1">
        <v>45478</v>
      </c>
      <c r="J1055">
        <f>Sheet1[[#This Row],[Close Date]]-Sheet1[[#This Row],[Open Date]]</f>
        <v>0</v>
      </c>
      <c r="K1055" t="str">
        <f>IF(Sheet1[[#This Row],[Actual Days]]&gt;=1,"Not Met","Met")</f>
        <v>Met</v>
      </c>
      <c r="L1055" t="str">
        <f>TEXT(Sheet1[[#This Row],[Open Date]],"mmm")</f>
        <v>Jul</v>
      </c>
    </row>
    <row r="1056" spans="1:12" x14ac:dyDescent="0.3">
      <c r="A1056" t="s">
        <v>1316</v>
      </c>
      <c r="B1056" t="s">
        <v>30</v>
      </c>
      <c r="C1056" t="s">
        <v>31</v>
      </c>
      <c r="D1056" t="s">
        <v>94</v>
      </c>
      <c r="E1056" t="s">
        <v>306</v>
      </c>
      <c r="F1056" t="s">
        <v>26</v>
      </c>
      <c r="G1056" t="s">
        <v>18</v>
      </c>
      <c r="H1056" s="1">
        <v>45588</v>
      </c>
      <c r="I1056" s="1">
        <v>45588</v>
      </c>
      <c r="J1056">
        <f>Sheet1[[#This Row],[Close Date]]-Sheet1[[#This Row],[Open Date]]</f>
        <v>0</v>
      </c>
      <c r="K1056" t="str">
        <f>IF(Sheet1[[#This Row],[Actual Days]]&gt;=1,"Not Met","Met")</f>
        <v>Met</v>
      </c>
      <c r="L1056" t="str">
        <f>TEXT(Sheet1[[#This Row],[Open Date]],"mmm")</f>
        <v>Oct</v>
      </c>
    </row>
    <row r="1057" spans="1:12" x14ac:dyDescent="0.3">
      <c r="A1057" t="s">
        <v>1317</v>
      </c>
      <c r="B1057" t="s">
        <v>30</v>
      </c>
      <c r="C1057" t="s">
        <v>31</v>
      </c>
      <c r="D1057" t="s">
        <v>38</v>
      </c>
      <c r="E1057" t="s">
        <v>310</v>
      </c>
      <c r="F1057" t="s">
        <v>26</v>
      </c>
      <c r="G1057" t="s">
        <v>49</v>
      </c>
      <c r="H1057" s="1">
        <v>45598</v>
      </c>
      <c r="I1057" s="1">
        <v>45598</v>
      </c>
      <c r="J1057">
        <f>Sheet1[[#This Row],[Close Date]]-Sheet1[[#This Row],[Open Date]]</f>
        <v>0</v>
      </c>
      <c r="K1057" t="str">
        <f>IF(Sheet1[[#This Row],[Actual Days]]&gt;=1,"Not Met","Met")</f>
        <v>Met</v>
      </c>
      <c r="L1057" t="str">
        <f>TEXT(Sheet1[[#This Row],[Open Date]],"mmm")</f>
        <v>Nov</v>
      </c>
    </row>
    <row r="1058" spans="1:12" x14ac:dyDescent="0.3">
      <c r="A1058" t="s">
        <v>1318</v>
      </c>
      <c r="B1058" t="s">
        <v>30</v>
      </c>
      <c r="C1058" t="s">
        <v>51</v>
      </c>
      <c r="D1058" t="s">
        <v>73</v>
      </c>
      <c r="E1058" t="s">
        <v>314</v>
      </c>
      <c r="F1058" t="s">
        <v>17</v>
      </c>
      <c r="G1058" t="s">
        <v>18</v>
      </c>
      <c r="H1058" s="1">
        <v>45486</v>
      </c>
      <c r="I1058" s="1">
        <v>45486</v>
      </c>
      <c r="J1058">
        <f>Sheet1[[#This Row],[Close Date]]-Sheet1[[#This Row],[Open Date]]</f>
        <v>0</v>
      </c>
      <c r="K1058" t="str">
        <f>IF(Sheet1[[#This Row],[Actual Days]]&gt;=1,"Not Met","Met")</f>
        <v>Met</v>
      </c>
      <c r="L1058" t="str">
        <f>TEXT(Sheet1[[#This Row],[Open Date]],"mmm")</f>
        <v>Jul</v>
      </c>
    </row>
    <row r="1059" spans="1:12" x14ac:dyDescent="0.3">
      <c r="A1059" t="s">
        <v>1319</v>
      </c>
      <c r="B1059" t="s">
        <v>30</v>
      </c>
      <c r="C1059" t="s">
        <v>161</v>
      </c>
      <c r="D1059" t="s">
        <v>15</v>
      </c>
      <c r="E1059" t="s">
        <v>320</v>
      </c>
      <c r="F1059" t="s">
        <v>26</v>
      </c>
      <c r="G1059" t="s">
        <v>34</v>
      </c>
      <c r="H1059" s="1">
        <v>45484</v>
      </c>
      <c r="I1059" s="1">
        <v>45484</v>
      </c>
      <c r="J1059">
        <f>Sheet1[[#This Row],[Close Date]]-Sheet1[[#This Row],[Open Date]]</f>
        <v>0</v>
      </c>
      <c r="K1059" t="str">
        <f>IF(Sheet1[[#This Row],[Actual Days]]&gt;=1,"Not Met","Met")</f>
        <v>Met</v>
      </c>
      <c r="L1059" t="str">
        <f>TEXT(Sheet1[[#This Row],[Open Date]],"mmm")</f>
        <v>Jul</v>
      </c>
    </row>
    <row r="1060" spans="1:12" x14ac:dyDescent="0.3">
      <c r="A1060" t="s">
        <v>1320</v>
      </c>
      <c r="B1060" t="s">
        <v>30</v>
      </c>
      <c r="C1060" t="s">
        <v>161</v>
      </c>
      <c r="D1060" t="s">
        <v>87</v>
      </c>
      <c r="E1060" t="s">
        <v>346</v>
      </c>
      <c r="F1060" t="s">
        <v>17</v>
      </c>
      <c r="G1060" t="s">
        <v>18</v>
      </c>
      <c r="H1060" s="1">
        <v>45576</v>
      </c>
      <c r="I1060" s="1">
        <v>45576</v>
      </c>
      <c r="J1060">
        <f>Sheet1[[#This Row],[Close Date]]-Sheet1[[#This Row],[Open Date]]</f>
        <v>0</v>
      </c>
      <c r="K1060" t="str">
        <f>IF(Sheet1[[#This Row],[Actual Days]]&gt;=1,"Not Met","Met")</f>
        <v>Met</v>
      </c>
      <c r="L1060" t="str">
        <f>TEXT(Sheet1[[#This Row],[Open Date]],"mmm")</f>
        <v>Oct</v>
      </c>
    </row>
    <row r="1061" spans="1:12" x14ac:dyDescent="0.3">
      <c r="A1061" t="s">
        <v>1321</v>
      </c>
      <c r="B1061" t="s">
        <v>30</v>
      </c>
      <c r="C1061" t="s">
        <v>51</v>
      </c>
      <c r="D1061" t="s">
        <v>32</v>
      </c>
      <c r="E1061" t="s">
        <v>378</v>
      </c>
      <c r="F1061" t="s">
        <v>17</v>
      </c>
      <c r="G1061" t="s">
        <v>18</v>
      </c>
      <c r="H1061" s="1">
        <v>45546</v>
      </c>
      <c r="I1061" s="1">
        <v>45546</v>
      </c>
      <c r="J1061">
        <f>Sheet1[[#This Row],[Close Date]]-Sheet1[[#This Row],[Open Date]]</f>
        <v>0</v>
      </c>
      <c r="K1061" t="str">
        <f>IF(Sheet1[[#This Row],[Actual Days]]&gt;=1,"Not Met","Met")</f>
        <v>Met</v>
      </c>
      <c r="L1061" t="str">
        <f>TEXT(Sheet1[[#This Row],[Open Date]],"mmm")</f>
        <v>Sep</v>
      </c>
    </row>
    <row r="1062" spans="1:12" x14ac:dyDescent="0.3">
      <c r="A1062" t="s">
        <v>1322</v>
      </c>
      <c r="B1062" t="s">
        <v>30</v>
      </c>
      <c r="C1062" t="s">
        <v>51</v>
      </c>
      <c r="D1062" t="s">
        <v>15</v>
      </c>
      <c r="E1062" t="s">
        <v>382</v>
      </c>
      <c r="F1062" t="s">
        <v>40</v>
      </c>
      <c r="G1062" t="s">
        <v>18</v>
      </c>
      <c r="H1062" s="1">
        <v>45478</v>
      </c>
      <c r="I1062" s="1">
        <v>45478</v>
      </c>
      <c r="J1062">
        <f>Sheet1[[#This Row],[Close Date]]-Sheet1[[#This Row],[Open Date]]</f>
        <v>0</v>
      </c>
      <c r="K1062" t="str">
        <f>IF(Sheet1[[#This Row],[Actual Days]]&gt;=1,"Not Met","Met")</f>
        <v>Met</v>
      </c>
      <c r="L1062" t="str">
        <f>TEXT(Sheet1[[#This Row],[Open Date]],"mmm")</f>
        <v>Jul</v>
      </c>
    </row>
    <row r="1063" spans="1:12" x14ac:dyDescent="0.3">
      <c r="A1063" t="s">
        <v>1323</v>
      </c>
      <c r="B1063" t="s">
        <v>30</v>
      </c>
      <c r="C1063" t="s">
        <v>51</v>
      </c>
      <c r="D1063" t="s">
        <v>38</v>
      </c>
      <c r="E1063" t="s">
        <v>390</v>
      </c>
      <c r="F1063" t="s">
        <v>17</v>
      </c>
      <c r="G1063" t="s">
        <v>59</v>
      </c>
      <c r="H1063" s="1">
        <v>45565</v>
      </c>
      <c r="I1063" s="1">
        <v>45565</v>
      </c>
      <c r="J1063">
        <f>Sheet1[[#This Row],[Close Date]]-Sheet1[[#This Row],[Open Date]]</f>
        <v>0</v>
      </c>
      <c r="K1063" t="str">
        <f>IF(Sheet1[[#This Row],[Actual Days]]&gt;=1,"Not Met","Met")</f>
        <v>Met</v>
      </c>
      <c r="L1063" t="str">
        <f>TEXT(Sheet1[[#This Row],[Open Date]],"mmm")</f>
        <v>Sep</v>
      </c>
    </row>
    <row r="1064" spans="1:12" x14ac:dyDescent="0.3">
      <c r="A1064" t="s">
        <v>1324</v>
      </c>
      <c r="B1064" t="s">
        <v>30</v>
      </c>
      <c r="C1064" t="s">
        <v>31</v>
      </c>
      <c r="D1064" t="s">
        <v>38</v>
      </c>
      <c r="E1064" t="s">
        <v>414</v>
      </c>
      <c r="F1064" t="s">
        <v>40</v>
      </c>
      <c r="G1064" t="s">
        <v>18</v>
      </c>
      <c r="H1064" s="1">
        <v>45585</v>
      </c>
      <c r="I1064" s="1">
        <v>45585</v>
      </c>
      <c r="J1064">
        <f>Sheet1[[#This Row],[Close Date]]-Sheet1[[#This Row],[Open Date]]</f>
        <v>0</v>
      </c>
      <c r="K1064" t="str">
        <f>IF(Sheet1[[#This Row],[Actual Days]]&gt;=1,"Not Met","Met")</f>
        <v>Met</v>
      </c>
      <c r="L1064" t="str">
        <f>TEXT(Sheet1[[#This Row],[Open Date]],"mmm")</f>
        <v>Oct</v>
      </c>
    </row>
    <row r="1065" spans="1:12" x14ac:dyDescent="0.3">
      <c r="A1065" t="s">
        <v>1325</v>
      </c>
      <c r="B1065" t="s">
        <v>30</v>
      </c>
      <c r="C1065" t="s">
        <v>31</v>
      </c>
      <c r="D1065" t="s">
        <v>24</v>
      </c>
      <c r="E1065" t="s">
        <v>416</v>
      </c>
      <c r="F1065" t="s">
        <v>40</v>
      </c>
      <c r="G1065" t="s">
        <v>27</v>
      </c>
      <c r="H1065" s="1">
        <v>45615</v>
      </c>
      <c r="I1065" s="1">
        <v>45615</v>
      </c>
      <c r="J1065">
        <f>Sheet1[[#This Row],[Close Date]]-Sheet1[[#This Row],[Open Date]]</f>
        <v>0</v>
      </c>
      <c r="K1065" t="str">
        <f>IF(Sheet1[[#This Row],[Actual Days]]&gt;=1,"Not Met","Met")</f>
        <v>Met</v>
      </c>
      <c r="L1065" t="str">
        <f>TEXT(Sheet1[[#This Row],[Open Date]],"mmm")</f>
        <v>Nov</v>
      </c>
    </row>
    <row r="1066" spans="1:12" x14ac:dyDescent="0.3">
      <c r="A1066" t="s">
        <v>1326</v>
      </c>
      <c r="B1066" t="s">
        <v>30</v>
      </c>
      <c r="C1066" t="s">
        <v>51</v>
      </c>
      <c r="D1066" t="s">
        <v>87</v>
      </c>
      <c r="E1066" t="s">
        <v>418</v>
      </c>
      <c r="F1066" t="s">
        <v>26</v>
      </c>
      <c r="G1066" t="s">
        <v>49</v>
      </c>
      <c r="H1066" s="1">
        <v>45518</v>
      </c>
      <c r="I1066" s="1">
        <v>45518</v>
      </c>
      <c r="J1066">
        <f>Sheet1[[#This Row],[Close Date]]-Sheet1[[#This Row],[Open Date]]</f>
        <v>0</v>
      </c>
      <c r="K1066" t="str">
        <f>IF(Sheet1[[#This Row],[Actual Days]]&gt;=1,"Not Met","Met")</f>
        <v>Met</v>
      </c>
      <c r="L1066" t="str">
        <f>TEXT(Sheet1[[#This Row],[Open Date]],"mmm")</f>
        <v>Aug</v>
      </c>
    </row>
    <row r="1067" spans="1:12" x14ac:dyDescent="0.3">
      <c r="A1067" t="s">
        <v>1327</v>
      </c>
      <c r="B1067" t="s">
        <v>30</v>
      </c>
      <c r="C1067" t="s">
        <v>161</v>
      </c>
      <c r="D1067" t="s">
        <v>94</v>
      </c>
      <c r="E1067" t="s">
        <v>422</v>
      </c>
      <c r="F1067" t="s">
        <v>17</v>
      </c>
      <c r="G1067" t="s">
        <v>18</v>
      </c>
      <c r="H1067" s="1">
        <v>45628</v>
      </c>
      <c r="I1067" s="1">
        <v>45628</v>
      </c>
      <c r="J1067">
        <f>Sheet1[[#This Row],[Close Date]]-Sheet1[[#This Row],[Open Date]]</f>
        <v>0</v>
      </c>
      <c r="K1067" t="str">
        <f>IF(Sheet1[[#This Row],[Actual Days]]&gt;=1,"Not Met","Met")</f>
        <v>Met</v>
      </c>
      <c r="L1067" t="str">
        <f>TEXT(Sheet1[[#This Row],[Open Date]],"mmm")</f>
        <v>Dec</v>
      </c>
    </row>
    <row r="1068" spans="1:12" x14ac:dyDescent="0.3">
      <c r="A1068" t="s">
        <v>1328</v>
      </c>
      <c r="B1068" t="s">
        <v>30</v>
      </c>
      <c r="C1068" t="s">
        <v>51</v>
      </c>
      <c r="D1068" t="s">
        <v>73</v>
      </c>
      <c r="E1068" t="s">
        <v>436</v>
      </c>
      <c r="F1068" t="s">
        <v>40</v>
      </c>
      <c r="G1068" t="s">
        <v>34</v>
      </c>
      <c r="H1068" s="1">
        <v>45633</v>
      </c>
      <c r="I1068" s="1">
        <v>45633</v>
      </c>
      <c r="J1068">
        <f>Sheet1[[#This Row],[Close Date]]-Sheet1[[#This Row],[Open Date]]</f>
        <v>0</v>
      </c>
      <c r="K1068" t="str">
        <f>IF(Sheet1[[#This Row],[Actual Days]]&gt;=1,"Not Met","Met")</f>
        <v>Met</v>
      </c>
      <c r="L1068" t="str">
        <f>TEXT(Sheet1[[#This Row],[Open Date]],"mmm")</f>
        <v>Dec</v>
      </c>
    </row>
    <row r="1069" spans="1:12" x14ac:dyDescent="0.3">
      <c r="A1069" t="s">
        <v>1329</v>
      </c>
      <c r="B1069" t="s">
        <v>30</v>
      </c>
      <c r="C1069" t="s">
        <v>31</v>
      </c>
      <c r="D1069" t="s">
        <v>38</v>
      </c>
      <c r="E1069" t="s">
        <v>438</v>
      </c>
      <c r="F1069" t="s">
        <v>26</v>
      </c>
      <c r="G1069" t="s">
        <v>49</v>
      </c>
      <c r="H1069" s="1">
        <v>45474</v>
      </c>
      <c r="I1069" s="1">
        <v>45474</v>
      </c>
      <c r="J1069">
        <f>Sheet1[[#This Row],[Close Date]]-Sheet1[[#This Row],[Open Date]]</f>
        <v>0</v>
      </c>
      <c r="K1069" t="str">
        <f>IF(Sheet1[[#This Row],[Actual Days]]&gt;=1,"Not Met","Met")</f>
        <v>Met</v>
      </c>
      <c r="L1069" t="str">
        <f>TEXT(Sheet1[[#This Row],[Open Date]],"mmm")</f>
        <v>Jul</v>
      </c>
    </row>
    <row r="1070" spans="1:12" x14ac:dyDescent="0.3">
      <c r="A1070" t="s">
        <v>1330</v>
      </c>
      <c r="B1070" t="s">
        <v>30</v>
      </c>
      <c r="C1070" t="s">
        <v>31</v>
      </c>
      <c r="D1070" t="s">
        <v>38</v>
      </c>
      <c r="E1070" t="s">
        <v>442</v>
      </c>
      <c r="F1070" t="s">
        <v>17</v>
      </c>
      <c r="G1070" t="s">
        <v>45</v>
      </c>
      <c r="H1070" s="1">
        <v>45492</v>
      </c>
      <c r="I1070" s="1">
        <v>45492</v>
      </c>
      <c r="J1070">
        <f>Sheet1[[#This Row],[Close Date]]-Sheet1[[#This Row],[Open Date]]</f>
        <v>0</v>
      </c>
      <c r="K1070" t="str">
        <f>IF(Sheet1[[#This Row],[Actual Days]]&gt;=1,"Not Met","Met")</f>
        <v>Met</v>
      </c>
      <c r="L1070" t="str">
        <f>TEXT(Sheet1[[#This Row],[Open Date]],"mmm")</f>
        <v>Jul</v>
      </c>
    </row>
    <row r="1071" spans="1:12" x14ac:dyDescent="0.3">
      <c r="A1071" t="s">
        <v>1331</v>
      </c>
      <c r="B1071" t="s">
        <v>30</v>
      </c>
      <c r="C1071" t="s">
        <v>31</v>
      </c>
      <c r="D1071" t="s">
        <v>32</v>
      </c>
      <c r="E1071" t="s">
        <v>33</v>
      </c>
      <c r="F1071" t="s">
        <v>26</v>
      </c>
      <c r="G1071" t="s">
        <v>34</v>
      </c>
      <c r="H1071" s="1">
        <v>45513</v>
      </c>
      <c r="I1071" s="1">
        <v>45513</v>
      </c>
      <c r="J1071">
        <f>Sheet1[[#This Row],[Close Date]]-Sheet1[[#This Row],[Open Date]]</f>
        <v>0</v>
      </c>
      <c r="K1071" t="str">
        <f>IF(Sheet1[[#This Row],[Actual Days]]&gt;=1,"Not Met","Met")</f>
        <v>Met</v>
      </c>
      <c r="L1071" t="str">
        <f>TEXT(Sheet1[[#This Row],[Open Date]],"mmm")</f>
        <v>Aug</v>
      </c>
    </row>
    <row r="1072" spans="1:12" x14ac:dyDescent="0.3">
      <c r="A1072" t="s">
        <v>1332</v>
      </c>
      <c r="B1072" t="s">
        <v>30</v>
      </c>
      <c r="C1072" t="s">
        <v>51</v>
      </c>
      <c r="D1072" t="s">
        <v>15</v>
      </c>
      <c r="E1072" t="s">
        <v>52</v>
      </c>
      <c r="F1072" t="s">
        <v>40</v>
      </c>
      <c r="G1072" t="s">
        <v>49</v>
      </c>
      <c r="H1072" s="1">
        <v>45496</v>
      </c>
      <c r="I1072" s="1">
        <v>45496</v>
      </c>
      <c r="J1072">
        <f>Sheet1[[#This Row],[Close Date]]-Sheet1[[#This Row],[Open Date]]</f>
        <v>0</v>
      </c>
      <c r="K1072" t="str">
        <f>IF(Sheet1[[#This Row],[Actual Days]]&gt;=1,"Not Met","Met")</f>
        <v>Met</v>
      </c>
      <c r="L1072" t="str">
        <f>TEXT(Sheet1[[#This Row],[Open Date]],"mmm")</f>
        <v>Jul</v>
      </c>
    </row>
    <row r="1073" spans="1:12" x14ac:dyDescent="0.3">
      <c r="A1073" t="s">
        <v>1333</v>
      </c>
      <c r="B1073" t="s">
        <v>30</v>
      </c>
      <c r="C1073" t="s">
        <v>51</v>
      </c>
      <c r="D1073" t="s">
        <v>32</v>
      </c>
      <c r="E1073" t="s">
        <v>55</v>
      </c>
      <c r="F1073" t="s">
        <v>17</v>
      </c>
      <c r="G1073" t="s">
        <v>34</v>
      </c>
      <c r="H1073" s="1">
        <v>45583</v>
      </c>
      <c r="I1073" s="1">
        <v>45583</v>
      </c>
      <c r="J1073">
        <f>Sheet1[[#This Row],[Close Date]]-Sheet1[[#This Row],[Open Date]]</f>
        <v>0</v>
      </c>
      <c r="K1073" t="str">
        <f>IF(Sheet1[[#This Row],[Actual Days]]&gt;=1,"Not Met","Met")</f>
        <v>Met</v>
      </c>
      <c r="L1073" t="str">
        <f>TEXT(Sheet1[[#This Row],[Open Date]],"mmm")</f>
        <v>Oct</v>
      </c>
    </row>
    <row r="1074" spans="1:12" x14ac:dyDescent="0.3">
      <c r="A1074" t="s">
        <v>1334</v>
      </c>
      <c r="B1074" t="s">
        <v>30</v>
      </c>
      <c r="C1074" t="s">
        <v>51</v>
      </c>
      <c r="D1074" t="s">
        <v>38</v>
      </c>
      <c r="E1074" t="s">
        <v>92</v>
      </c>
      <c r="F1074" t="s">
        <v>40</v>
      </c>
      <c r="G1074" t="s">
        <v>18</v>
      </c>
      <c r="H1074" s="1">
        <v>45511</v>
      </c>
      <c r="I1074" s="1">
        <v>45511</v>
      </c>
      <c r="J1074">
        <f>Sheet1[[#This Row],[Close Date]]-Sheet1[[#This Row],[Open Date]]</f>
        <v>0</v>
      </c>
      <c r="K1074" t="str">
        <f>IF(Sheet1[[#This Row],[Actual Days]]&gt;=1,"Not Met","Met")</f>
        <v>Met</v>
      </c>
      <c r="L1074" t="str">
        <f>TEXT(Sheet1[[#This Row],[Open Date]],"mmm")</f>
        <v>Aug</v>
      </c>
    </row>
    <row r="1075" spans="1:12" x14ac:dyDescent="0.3">
      <c r="A1075" t="s">
        <v>1335</v>
      </c>
      <c r="B1075" t="s">
        <v>30</v>
      </c>
      <c r="C1075" t="s">
        <v>51</v>
      </c>
      <c r="D1075" t="s">
        <v>38</v>
      </c>
      <c r="E1075" t="s">
        <v>116</v>
      </c>
      <c r="F1075" t="s">
        <v>40</v>
      </c>
      <c r="G1075" t="s">
        <v>18</v>
      </c>
      <c r="H1075" s="1">
        <v>45614</v>
      </c>
      <c r="I1075" s="1">
        <v>45614</v>
      </c>
      <c r="J1075">
        <f>Sheet1[[#This Row],[Close Date]]-Sheet1[[#This Row],[Open Date]]</f>
        <v>0</v>
      </c>
      <c r="K1075" t="str">
        <f>IF(Sheet1[[#This Row],[Actual Days]]&gt;=1,"Not Met","Met")</f>
        <v>Met</v>
      </c>
      <c r="L1075" t="str">
        <f>TEXT(Sheet1[[#This Row],[Open Date]],"mmm")</f>
        <v>Nov</v>
      </c>
    </row>
    <row r="1076" spans="1:12" x14ac:dyDescent="0.3">
      <c r="A1076" t="s">
        <v>1336</v>
      </c>
      <c r="B1076" t="s">
        <v>30</v>
      </c>
      <c r="C1076" t="s">
        <v>31</v>
      </c>
      <c r="D1076" t="s">
        <v>38</v>
      </c>
      <c r="E1076" t="s">
        <v>144</v>
      </c>
      <c r="F1076" t="s">
        <v>40</v>
      </c>
      <c r="G1076" t="s">
        <v>45</v>
      </c>
      <c r="H1076" s="1">
        <v>45503</v>
      </c>
      <c r="I1076" s="1">
        <v>45503</v>
      </c>
      <c r="J1076">
        <f>Sheet1[[#This Row],[Close Date]]-Sheet1[[#This Row],[Open Date]]</f>
        <v>0</v>
      </c>
      <c r="K1076" t="str">
        <f>IF(Sheet1[[#This Row],[Actual Days]]&gt;=1,"Not Met","Met")</f>
        <v>Met</v>
      </c>
      <c r="L1076" t="str">
        <f>TEXT(Sheet1[[#This Row],[Open Date]],"mmm")</f>
        <v>Jul</v>
      </c>
    </row>
    <row r="1077" spans="1:12" x14ac:dyDescent="0.3">
      <c r="A1077" t="s">
        <v>1337</v>
      </c>
      <c r="B1077" t="s">
        <v>30</v>
      </c>
      <c r="C1077" t="s">
        <v>31</v>
      </c>
      <c r="D1077" t="s">
        <v>87</v>
      </c>
      <c r="E1077" t="s">
        <v>146</v>
      </c>
      <c r="F1077" t="s">
        <v>40</v>
      </c>
      <c r="G1077" t="s">
        <v>27</v>
      </c>
      <c r="H1077" s="1">
        <v>45602</v>
      </c>
      <c r="I1077" s="1">
        <v>45602</v>
      </c>
      <c r="J1077">
        <f>Sheet1[[#This Row],[Close Date]]-Sheet1[[#This Row],[Open Date]]</f>
        <v>0</v>
      </c>
      <c r="K1077" t="str">
        <f>IF(Sheet1[[#This Row],[Actual Days]]&gt;=1,"Not Met","Met")</f>
        <v>Met</v>
      </c>
      <c r="L1077" t="str">
        <f>TEXT(Sheet1[[#This Row],[Open Date]],"mmm")</f>
        <v>Nov</v>
      </c>
    </row>
    <row r="1078" spans="1:12" x14ac:dyDescent="0.3">
      <c r="A1078" t="s">
        <v>1338</v>
      </c>
      <c r="B1078" t="s">
        <v>30</v>
      </c>
      <c r="C1078" t="s">
        <v>161</v>
      </c>
      <c r="D1078" t="s">
        <v>24</v>
      </c>
      <c r="E1078" t="s">
        <v>162</v>
      </c>
      <c r="F1078" t="s">
        <v>17</v>
      </c>
      <c r="G1078" t="s">
        <v>45</v>
      </c>
      <c r="H1078" s="1">
        <v>45607</v>
      </c>
      <c r="I1078" s="1">
        <v>45607</v>
      </c>
      <c r="J1078">
        <f>Sheet1[[#This Row],[Close Date]]-Sheet1[[#This Row],[Open Date]]</f>
        <v>0</v>
      </c>
      <c r="K1078" t="str">
        <f>IF(Sheet1[[#This Row],[Actual Days]]&gt;=1,"Not Met","Met")</f>
        <v>Met</v>
      </c>
      <c r="L1078" t="str">
        <f>TEXT(Sheet1[[#This Row],[Open Date]],"mmm")</f>
        <v>Nov</v>
      </c>
    </row>
    <row r="1079" spans="1:12" x14ac:dyDescent="0.3">
      <c r="A1079" t="s">
        <v>1339</v>
      </c>
      <c r="B1079" t="s">
        <v>30</v>
      </c>
      <c r="C1079" t="s">
        <v>51</v>
      </c>
      <c r="D1079" t="s">
        <v>38</v>
      </c>
      <c r="E1079" t="s">
        <v>180</v>
      </c>
      <c r="F1079" t="s">
        <v>40</v>
      </c>
      <c r="G1079" t="s">
        <v>34</v>
      </c>
      <c r="H1079" s="1">
        <v>45614</v>
      </c>
      <c r="I1079" s="1">
        <v>45614</v>
      </c>
      <c r="J1079">
        <f>Sheet1[[#This Row],[Close Date]]-Sheet1[[#This Row],[Open Date]]</f>
        <v>0</v>
      </c>
      <c r="K1079" t="str">
        <f>IF(Sheet1[[#This Row],[Actual Days]]&gt;=1,"Not Met","Met")</f>
        <v>Met</v>
      </c>
      <c r="L1079" t="str">
        <f>TEXT(Sheet1[[#This Row],[Open Date]],"mmm")</f>
        <v>Nov</v>
      </c>
    </row>
    <row r="1080" spans="1:12" x14ac:dyDescent="0.3">
      <c r="A1080" t="s">
        <v>1340</v>
      </c>
      <c r="B1080" t="s">
        <v>30</v>
      </c>
      <c r="C1080" t="s">
        <v>51</v>
      </c>
      <c r="D1080" t="s">
        <v>38</v>
      </c>
      <c r="E1080" t="s">
        <v>186</v>
      </c>
      <c r="F1080" t="s">
        <v>40</v>
      </c>
      <c r="G1080" t="s">
        <v>18</v>
      </c>
      <c r="H1080" s="1">
        <v>45605</v>
      </c>
      <c r="I1080" s="1">
        <v>45605</v>
      </c>
      <c r="J1080">
        <f>Sheet1[[#This Row],[Close Date]]-Sheet1[[#This Row],[Open Date]]</f>
        <v>0</v>
      </c>
      <c r="K1080" t="str">
        <f>IF(Sheet1[[#This Row],[Actual Days]]&gt;=1,"Not Met","Met")</f>
        <v>Met</v>
      </c>
      <c r="L1080" t="str">
        <f>TEXT(Sheet1[[#This Row],[Open Date]],"mmm")</f>
        <v>Nov</v>
      </c>
    </row>
    <row r="1081" spans="1:12" x14ac:dyDescent="0.3">
      <c r="A1081" t="s">
        <v>1341</v>
      </c>
      <c r="B1081" t="s">
        <v>30</v>
      </c>
      <c r="C1081" t="s">
        <v>161</v>
      </c>
      <c r="D1081" t="s">
        <v>32</v>
      </c>
      <c r="E1081" t="s">
        <v>188</v>
      </c>
      <c r="F1081" t="s">
        <v>40</v>
      </c>
      <c r="G1081" t="s">
        <v>18</v>
      </c>
      <c r="H1081" s="1">
        <v>45491</v>
      </c>
      <c r="I1081" s="1">
        <v>45491</v>
      </c>
      <c r="J1081">
        <f>Sheet1[[#This Row],[Close Date]]-Sheet1[[#This Row],[Open Date]]</f>
        <v>0</v>
      </c>
      <c r="K1081" t="str">
        <f>IF(Sheet1[[#This Row],[Actual Days]]&gt;=1,"Not Met","Met")</f>
        <v>Met</v>
      </c>
      <c r="L1081" t="str">
        <f>TEXT(Sheet1[[#This Row],[Open Date]],"mmm")</f>
        <v>Jul</v>
      </c>
    </row>
    <row r="1082" spans="1:12" x14ac:dyDescent="0.3">
      <c r="A1082" t="s">
        <v>1342</v>
      </c>
      <c r="B1082" t="s">
        <v>30</v>
      </c>
      <c r="C1082" t="s">
        <v>31</v>
      </c>
      <c r="D1082" t="s">
        <v>24</v>
      </c>
      <c r="E1082" t="s">
        <v>192</v>
      </c>
      <c r="F1082" t="s">
        <v>26</v>
      </c>
      <c r="G1082" t="s">
        <v>27</v>
      </c>
      <c r="H1082" s="1">
        <v>45589</v>
      </c>
      <c r="I1082" s="1">
        <v>45589</v>
      </c>
      <c r="J1082">
        <f>Sheet1[[#This Row],[Close Date]]-Sheet1[[#This Row],[Open Date]]</f>
        <v>0</v>
      </c>
      <c r="K1082" t="str">
        <f>IF(Sheet1[[#This Row],[Actual Days]]&gt;=1,"Not Met","Met")</f>
        <v>Met</v>
      </c>
      <c r="L1082" t="str">
        <f>TEXT(Sheet1[[#This Row],[Open Date]],"mmm")</f>
        <v>Oct</v>
      </c>
    </row>
    <row r="1083" spans="1:12" x14ac:dyDescent="0.3">
      <c r="A1083" t="s">
        <v>1343</v>
      </c>
      <c r="B1083" t="s">
        <v>30</v>
      </c>
      <c r="C1083" t="s">
        <v>161</v>
      </c>
      <c r="D1083" t="s">
        <v>15</v>
      </c>
      <c r="E1083" t="s">
        <v>196</v>
      </c>
      <c r="F1083" t="s">
        <v>17</v>
      </c>
      <c r="G1083" t="s">
        <v>45</v>
      </c>
      <c r="H1083" s="1">
        <v>45591</v>
      </c>
      <c r="I1083" s="1">
        <v>45591</v>
      </c>
      <c r="J1083">
        <f>Sheet1[[#This Row],[Close Date]]-Sheet1[[#This Row],[Open Date]]</f>
        <v>0</v>
      </c>
      <c r="K1083" t="str">
        <f>IF(Sheet1[[#This Row],[Actual Days]]&gt;=1,"Not Met","Met")</f>
        <v>Met</v>
      </c>
      <c r="L1083" t="str">
        <f>TEXT(Sheet1[[#This Row],[Open Date]],"mmm")</f>
        <v>Oct</v>
      </c>
    </row>
    <row r="1084" spans="1:12" x14ac:dyDescent="0.3">
      <c r="A1084" t="s">
        <v>1344</v>
      </c>
      <c r="B1084" t="s">
        <v>30</v>
      </c>
      <c r="C1084" t="s">
        <v>161</v>
      </c>
      <c r="D1084" t="s">
        <v>24</v>
      </c>
      <c r="E1084" t="s">
        <v>200</v>
      </c>
      <c r="F1084" t="s">
        <v>17</v>
      </c>
      <c r="G1084" t="s">
        <v>34</v>
      </c>
      <c r="H1084" s="1">
        <v>45580</v>
      </c>
      <c r="I1084" s="1">
        <v>45580</v>
      </c>
      <c r="J1084">
        <f>Sheet1[[#This Row],[Close Date]]-Sheet1[[#This Row],[Open Date]]</f>
        <v>0</v>
      </c>
      <c r="K1084" t="str">
        <f>IF(Sheet1[[#This Row],[Actual Days]]&gt;=1,"Not Met","Met")</f>
        <v>Met</v>
      </c>
      <c r="L1084" t="str">
        <f>TEXT(Sheet1[[#This Row],[Open Date]],"mmm")</f>
        <v>Oct</v>
      </c>
    </row>
    <row r="1085" spans="1:12" x14ac:dyDescent="0.3">
      <c r="A1085" t="s">
        <v>1345</v>
      </c>
      <c r="B1085" t="s">
        <v>30</v>
      </c>
      <c r="C1085" t="s">
        <v>31</v>
      </c>
      <c r="D1085" t="s">
        <v>94</v>
      </c>
      <c r="E1085" t="s">
        <v>214</v>
      </c>
      <c r="F1085" t="s">
        <v>17</v>
      </c>
      <c r="G1085" t="s">
        <v>34</v>
      </c>
      <c r="H1085" s="1">
        <v>45600</v>
      </c>
      <c r="I1085" s="1">
        <v>45600</v>
      </c>
      <c r="J1085">
        <f>Sheet1[[#This Row],[Close Date]]-Sheet1[[#This Row],[Open Date]]</f>
        <v>0</v>
      </c>
      <c r="K1085" t="str">
        <f>IF(Sheet1[[#This Row],[Actual Days]]&gt;=1,"Not Met","Met")</f>
        <v>Met</v>
      </c>
      <c r="L1085" t="str">
        <f>TEXT(Sheet1[[#This Row],[Open Date]],"mmm")</f>
        <v>Nov</v>
      </c>
    </row>
    <row r="1086" spans="1:12" x14ac:dyDescent="0.3">
      <c r="A1086" t="s">
        <v>1346</v>
      </c>
      <c r="B1086" t="s">
        <v>30</v>
      </c>
      <c r="C1086" t="s">
        <v>161</v>
      </c>
      <c r="D1086" t="s">
        <v>73</v>
      </c>
      <c r="E1086" t="s">
        <v>218</v>
      </c>
      <c r="F1086" t="s">
        <v>17</v>
      </c>
      <c r="G1086" t="s">
        <v>45</v>
      </c>
      <c r="H1086" s="1">
        <v>45540</v>
      </c>
      <c r="I1086" s="1">
        <v>45540</v>
      </c>
      <c r="J1086">
        <f>Sheet1[[#This Row],[Close Date]]-Sheet1[[#This Row],[Open Date]]</f>
        <v>0</v>
      </c>
      <c r="K1086" t="str">
        <f>IF(Sheet1[[#This Row],[Actual Days]]&gt;=1,"Not Met","Met")</f>
        <v>Met</v>
      </c>
      <c r="L1086" t="str">
        <f>TEXT(Sheet1[[#This Row],[Open Date]],"mmm")</f>
        <v>Sep</v>
      </c>
    </row>
    <row r="1087" spans="1:12" x14ac:dyDescent="0.3">
      <c r="A1087" t="s">
        <v>1347</v>
      </c>
      <c r="B1087" t="s">
        <v>30</v>
      </c>
      <c r="C1087" t="s">
        <v>51</v>
      </c>
      <c r="D1087" t="s">
        <v>73</v>
      </c>
      <c r="E1087" t="s">
        <v>226</v>
      </c>
      <c r="F1087" t="s">
        <v>17</v>
      </c>
      <c r="G1087" t="s">
        <v>34</v>
      </c>
      <c r="H1087" s="1">
        <v>45561</v>
      </c>
      <c r="I1087" s="1">
        <v>45561</v>
      </c>
      <c r="J1087">
        <f>Sheet1[[#This Row],[Close Date]]-Sheet1[[#This Row],[Open Date]]</f>
        <v>0</v>
      </c>
      <c r="K1087" t="str">
        <f>IF(Sheet1[[#This Row],[Actual Days]]&gt;=1,"Not Met","Met")</f>
        <v>Met</v>
      </c>
      <c r="L1087" t="str">
        <f>TEXT(Sheet1[[#This Row],[Open Date]],"mmm")</f>
        <v>Sep</v>
      </c>
    </row>
    <row r="1088" spans="1:12" x14ac:dyDescent="0.3">
      <c r="A1088" t="s">
        <v>1348</v>
      </c>
      <c r="B1088" t="s">
        <v>30</v>
      </c>
      <c r="C1088" t="s">
        <v>161</v>
      </c>
      <c r="D1088" t="s">
        <v>38</v>
      </c>
      <c r="E1088" t="s">
        <v>230</v>
      </c>
      <c r="F1088" t="s">
        <v>26</v>
      </c>
      <c r="G1088" t="s">
        <v>27</v>
      </c>
      <c r="H1088" s="1">
        <v>45592</v>
      </c>
      <c r="I1088" s="1">
        <v>45592</v>
      </c>
      <c r="J1088">
        <f>Sheet1[[#This Row],[Close Date]]-Sheet1[[#This Row],[Open Date]]</f>
        <v>0</v>
      </c>
      <c r="K1088" t="str">
        <f>IF(Sheet1[[#This Row],[Actual Days]]&gt;=1,"Not Met","Met")</f>
        <v>Met</v>
      </c>
      <c r="L1088" t="str">
        <f>TEXT(Sheet1[[#This Row],[Open Date]],"mmm")</f>
        <v>Oct</v>
      </c>
    </row>
    <row r="1089" spans="1:12" x14ac:dyDescent="0.3">
      <c r="A1089" t="s">
        <v>1349</v>
      </c>
      <c r="B1089" t="s">
        <v>30</v>
      </c>
      <c r="C1089" t="s">
        <v>161</v>
      </c>
      <c r="D1089" t="s">
        <v>38</v>
      </c>
      <c r="E1089" t="s">
        <v>242</v>
      </c>
      <c r="F1089" t="s">
        <v>40</v>
      </c>
      <c r="G1089" t="s">
        <v>59</v>
      </c>
      <c r="H1089" s="1">
        <v>45556</v>
      </c>
      <c r="I1089" s="1">
        <v>45556</v>
      </c>
      <c r="J1089">
        <f>Sheet1[[#This Row],[Close Date]]-Sheet1[[#This Row],[Open Date]]</f>
        <v>0</v>
      </c>
      <c r="K1089" t="str">
        <f>IF(Sheet1[[#This Row],[Actual Days]]&gt;=1,"Not Met","Met")</f>
        <v>Met</v>
      </c>
      <c r="L1089" t="str">
        <f>TEXT(Sheet1[[#This Row],[Open Date]],"mmm")</f>
        <v>Sep</v>
      </c>
    </row>
    <row r="1090" spans="1:12" x14ac:dyDescent="0.3">
      <c r="A1090" t="s">
        <v>1350</v>
      </c>
      <c r="B1090" t="s">
        <v>30</v>
      </c>
      <c r="C1090" t="s">
        <v>31</v>
      </c>
      <c r="D1090" t="s">
        <v>94</v>
      </c>
      <c r="E1090" t="s">
        <v>252</v>
      </c>
      <c r="F1090" t="s">
        <v>40</v>
      </c>
      <c r="G1090" t="s">
        <v>18</v>
      </c>
      <c r="H1090" s="1">
        <v>45540</v>
      </c>
      <c r="I1090" s="1">
        <v>45540</v>
      </c>
      <c r="J1090">
        <f>Sheet1[[#This Row],[Close Date]]-Sheet1[[#This Row],[Open Date]]</f>
        <v>0</v>
      </c>
      <c r="K1090" t="str">
        <f>IF(Sheet1[[#This Row],[Actual Days]]&gt;=1,"Not Met","Met")</f>
        <v>Met</v>
      </c>
      <c r="L1090" t="str">
        <f>TEXT(Sheet1[[#This Row],[Open Date]],"mmm")</f>
        <v>Sep</v>
      </c>
    </row>
    <row r="1091" spans="1:12" x14ac:dyDescent="0.3">
      <c r="A1091" t="s">
        <v>1351</v>
      </c>
      <c r="B1091" t="s">
        <v>30</v>
      </c>
      <c r="C1091" t="s">
        <v>51</v>
      </c>
      <c r="D1091" t="s">
        <v>94</v>
      </c>
      <c r="E1091" t="s">
        <v>260</v>
      </c>
      <c r="F1091" t="s">
        <v>40</v>
      </c>
      <c r="G1091" t="s">
        <v>27</v>
      </c>
      <c r="H1091" s="1">
        <v>45599</v>
      </c>
      <c r="I1091" s="1">
        <v>45599</v>
      </c>
      <c r="J1091">
        <f>Sheet1[[#This Row],[Close Date]]-Sheet1[[#This Row],[Open Date]]</f>
        <v>0</v>
      </c>
      <c r="K1091" t="str">
        <f>IF(Sheet1[[#This Row],[Actual Days]]&gt;=1,"Not Met","Met")</f>
        <v>Met</v>
      </c>
      <c r="L1091" t="str">
        <f>TEXT(Sheet1[[#This Row],[Open Date]],"mmm")</f>
        <v>Nov</v>
      </c>
    </row>
    <row r="1092" spans="1:12" x14ac:dyDescent="0.3">
      <c r="A1092" t="s">
        <v>1352</v>
      </c>
      <c r="B1092" t="s">
        <v>30</v>
      </c>
      <c r="C1092" t="s">
        <v>51</v>
      </c>
      <c r="D1092" t="s">
        <v>156</v>
      </c>
      <c r="E1092" t="s">
        <v>266</v>
      </c>
      <c r="F1092" t="s">
        <v>17</v>
      </c>
      <c r="G1092" t="s">
        <v>45</v>
      </c>
      <c r="H1092" s="1">
        <v>45595</v>
      </c>
      <c r="I1092" s="1">
        <v>45595</v>
      </c>
      <c r="J1092">
        <f>Sheet1[[#This Row],[Close Date]]-Sheet1[[#This Row],[Open Date]]</f>
        <v>0</v>
      </c>
      <c r="K1092" t="str">
        <f>IF(Sheet1[[#This Row],[Actual Days]]&gt;=1,"Not Met","Met")</f>
        <v>Met</v>
      </c>
      <c r="L1092" t="str">
        <f>TEXT(Sheet1[[#This Row],[Open Date]],"mmm")</f>
        <v>Oct</v>
      </c>
    </row>
    <row r="1093" spans="1:12" x14ac:dyDescent="0.3">
      <c r="A1093" t="s">
        <v>1353</v>
      </c>
      <c r="B1093" t="s">
        <v>30</v>
      </c>
      <c r="C1093" t="s">
        <v>51</v>
      </c>
      <c r="D1093" t="s">
        <v>38</v>
      </c>
      <c r="E1093" t="s">
        <v>272</v>
      </c>
      <c r="F1093" t="s">
        <v>40</v>
      </c>
      <c r="G1093" t="s">
        <v>27</v>
      </c>
      <c r="H1093" s="1">
        <v>45540</v>
      </c>
      <c r="I1093" s="1">
        <v>45540</v>
      </c>
      <c r="J1093">
        <f>Sheet1[[#This Row],[Close Date]]-Sheet1[[#This Row],[Open Date]]</f>
        <v>0</v>
      </c>
      <c r="K1093" t="str">
        <f>IF(Sheet1[[#This Row],[Actual Days]]&gt;=1,"Not Met","Met")</f>
        <v>Met</v>
      </c>
      <c r="L1093" t="str">
        <f>TEXT(Sheet1[[#This Row],[Open Date]],"mmm")</f>
        <v>Sep</v>
      </c>
    </row>
    <row r="1094" spans="1:12" x14ac:dyDescent="0.3">
      <c r="A1094" t="s">
        <v>1354</v>
      </c>
      <c r="B1094" t="s">
        <v>30</v>
      </c>
      <c r="C1094" t="s">
        <v>31</v>
      </c>
      <c r="D1094" t="s">
        <v>38</v>
      </c>
      <c r="E1094" t="s">
        <v>274</v>
      </c>
      <c r="F1094" t="s">
        <v>40</v>
      </c>
      <c r="G1094" t="s">
        <v>34</v>
      </c>
      <c r="H1094" s="1">
        <v>45614</v>
      </c>
      <c r="I1094" s="1">
        <v>45614</v>
      </c>
      <c r="J1094">
        <f>Sheet1[[#This Row],[Close Date]]-Sheet1[[#This Row],[Open Date]]</f>
        <v>0</v>
      </c>
      <c r="K1094" t="str">
        <f>IF(Sheet1[[#This Row],[Actual Days]]&gt;=1,"Not Met","Met")</f>
        <v>Met</v>
      </c>
      <c r="L1094" t="str">
        <f>TEXT(Sheet1[[#This Row],[Open Date]],"mmm")</f>
        <v>Nov</v>
      </c>
    </row>
    <row r="1095" spans="1:12" x14ac:dyDescent="0.3">
      <c r="A1095" t="s">
        <v>1355</v>
      </c>
      <c r="B1095" t="s">
        <v>30</v>
      </c>
      <c r="C1095" t="s">
        <v>161</v>
      </c>
      <c r="D1095" t="s">
        <v>38</v>
      </c>
      <c r="E1095" t="s">
        <v>280</v>
      </c>
      <c r="F1095" t="s">
        <v>26</v>
      </c>
      <c r="G1095" t="s">
        <v>49</v>
      </c>
      <c r="H1095" s="1">
        <v>45495</v>
      </c>
      <c r="I1095" s="1">
        <v>45495</v>
      </c>
      <c r="J1095">
        <f>Sheet1[[#This Row],[Close Date]]-Sheet1[[#This Row],[Open Date]]</f>
        <v>0</v>
      </c>
      <c r="K1095" t="str">
        <f>IF(Sheet1[[#This Row],[Actual Days]]&gt;=1,"Not Met","Met")</f>
        <v>Met</v>
      </c>
      <c r="L1095" t="str">
        <f>TEXT(Sheet1[[#This Row],[Open Date]],"mmm")</f>
        <v>Jul</v>
      </c>
    </row>
    <row r="1096" spans="1:12" x14ac:dyDescent="0.3">
      <c r="A1096" t="s">
        <v>1356</v>
      </c>
      <c r="B1096" t="s">
        <v>30</v>
      </c>
      <c r="C1096" t="s">
        <v>31</v>
      </c>
      <c r="D1096" t="s">
        <v>73</v>
      </c>
      <c r="E1096" t="s">
        <v>288</v>
      </c>
      <c r="F1096" t="s">
        <v>26</v>
      </c>
      <c r="G1096" t="s">
        <v>27</v>
      </c>
      <c r="H1096" s="1">
        <v>45616</v>
      </c>
      <c r="I1096" s="1">
        <v>45616</v>
      </c>
      <c r="J1096">
        <f>Sheet1[[#This Row],[Close Date]]-Sheet1[[#This Row],[Open Date]]</f>
        <v>0</v>
      </c>
      <c r="K1096" t="str">
        <f>IF(Sheet1[[#This Row],[Actual Days]]&gt;=1,"Not Met","Met")</f>
        <v>Met</v>
      </c>
      <c r="L1096" t="str">
        <f>TEXT(Sheet1[[#This Row],[Open Date]],"mmm")</f>
        <v>Nov</v>
      </c>
    </row>
    <row r="1097" spans="1:12" x14ac:dyDescent="0.3">
      <c r="A1097" t="s">
        <v>1357</v>
      </c>
      <c r="B1097" t="s">
        <v>30</v>
      </c>
      <c r="C1097" t="s">
        <v>161</v>
      </c>
      <c r="D1097" t="s">
        <v>87</v>
      </c>
      <c r="E1097" t="s">
        <v>290</v>
      </c>
      <c r="F1097" t="s">
        <v>40</v>
      </c>
      <c r="G1097" t="s">
        <v>59</v>
      </c>
      <c r="H1097" s="1">
        <v>45478</v>
      </c>
      <c r="I1097" s="1">
        <v>45478</v>
      </c>
      <c r="J1097">
        <f>Sheet1[[#This Row],[Close Date]]-Sheet1[[#This Row],[Open Date]]</f>
        <v>0</v>
      </c>
      <c r="K1097" t="str">
        <f>IF(Sheet1[[#This Row],[Actual Days]]&gt;=1,"Not Met","Met")</f>
        <v>Met</v>
      </c>
      <c r="L1097" t="str">
        <f>TEXT(Sheet1[[#This Row],[Open Date]],"mmm")</f>
        <v>Jul</v>
      </c>
    </row>
    <row r="1098" spans="1:12" x14ac:dyDescent="0.3">
      <c r="A1098" t="s">
        <v>1358</v>
      </c>
      <c r="B1098" t="s">
        <v>30</v>
      </c>
      <c r="C1098" t="s">
        <v>31</v>
      </c>
      <c r="D1098" t="s">
        <v>94</v>
      </c>
      <c r="E1098" t="s">
        <v>306</v>
      </c>
      <c r="F1098" t="s">
        <v>26</v>
      </c>
      <c r="G1098" t="s">
        <v>18</v>
      </c>
      <c r="H1098" s="1">
        <v>45588</v>
      </c>
      <c r="I1098" s="1">
        <v>45588</v>
      </c>
      <c r="J1098">
        <f>Sheet1[[#This Row],[Close Date]]-Sheet1[[#This Row],[Open Date]]</f>
        <v>0</v>
      </c>
      <c r="K1098" t="str">
        <f>IF(Sheet1[[#This Row],[Actual Days]]&gt;=1,"Not Met","Met")</f>
        <v>Met</v>
      </c>
      <c r="L1098" t="str">
        <f>TEXT(Sheet1[[#This Row],[Open Date]],"mmm")</f>
        <v>Oct</v>
      </c>
    </row>
    <row r="1099" spans="1:12" x14ac:dyDescent="0.3">
      <c r="A1099" t="s">
        <v>1359</v>
      </c>
      <c r="B1099" t="s">
        <v>30</v>
      </c>
      <c r="C1099" t="s">
        <v>31</v>
      </c>
      <c r="D1099" t="s">
        <v>38</v>
      </c>
      <c r="E1099" t="s">
        <v>310</v>
      </c>
      <c r="F1099" t="s">
        <v>26</v>
      </c>
      <c r="G1099" t="s">
        <v>49</v>
      </c>
      <c r="H1099" s="1">
        <v>45598</v>
      </c>
      <c r="I1099" s="1">
        <v>45598</v>
      </c>
      <c r="J1099">
        <f>Sheet1[[#This Row],[Close Date]]-Sheet1[[#This Row],[Open Date]]</f>
        <v>0</v>
      </c>
      <c r="K1099" t="str">
        <f>IF(Sheet1[[#This Row],[Actual Days]]&gt;=1,"Not Met","Met")</f>
        <v>Met</v>
      </c>
      <c r="L1099" t="str">
        <f>TEXT(Sheet1[[#This Row],[Open Date]],"mmm")</f>
        <v>Nov</v>
      </c>
    </row>
    <row r="1100" spans="1:12" x14ac:dyDescent="0.3">
      <c r="A1100" t="s">
        <v>1360</v>
      </c>
      <c r="B1100" t="s">
        <v>30</v>
      </c>
      <c r="C1100" t="s">
        <v>51</v>
      </c>
      <c r="D1100" t="s">
        <v>73</v>
      </c>
      <c r="E1100" t="s">
        <v>314</v>
      </c>
      <c r="F1100" t="s">
        <v>17</v>
      </c>
      <c r="G1100" t="s">
        <v>18</v>
      </c>
      <c r="H1100" s="1">
        <v>45486</v>
      </c>
      <c r="I1100" s="1">
        <v>45486</v>
      </c>
      <c r="J1100">
        <f>Sheet1[[#This Row],[Close Date]]-Sheet1[[#This Row],[Open Date]]</f>
        <v>0</v>
      </c>
      <c r="K1100" t="str">
        <f>IF(Sheet1[[#This Row],[Actual Days]]&gt;=1,"Not Met","Met")</f>
        <v>Met</v>
      </c>
      <c r="L1100" t="str">
        <f>TEXT(Sheet1[[#This Row],[Open Date]],"mmm")</f>
        <v>Jul</v>
      </c>
    </row>
    <row r="1101" spans="1:12" x14ac:dyDescent="0.3">
      <c r="A1101" t="s">
        <v>1361</v>
      </c>
      <c r="B1101" t="s">
        <v>30</v>
      </c>
      <c r="C1101" t="s">
        <v>161</v>
      </c>
      <c r="D1101" t="s">
        <v>15</v>
      </c>
      <c r="E1101" t="s">
        <v>320</v>
      </c>
      <c r="F1101" t="s">
        <v>26</v>
      </c>
      <c r="G1101" t="s">
        <v>34</v>
      </c>
      <c r="H1101" s="1">
        <v>45484</v>
      </c>
      <c r="I1101" s="1">
        <v>45484</v>
      </c>
      <c r="J1101">
        <f>Sheet1[[#This Row],[Close Date]]-Sheet1[[#This Row],[Open Date]]</f>
        <v>0</v>
      </c>
      <c r="K1101" t="str">
        <f>IF(Sheet1[[#This Row],[Actual Days]]&gt;=1,"Not Met","Met")</f>
        <v>Met</v>
      </c>
      <c r="L1101" t="str">
        <f>TEXT(Sheet1[[#This Row],[Open Date]],"mmm")</f>
        <v>Jul</v>
      </c>
    </row>
    <row r="1102" spans="1:12" x14ac:dyDescent="0.3">
      <c r="A1102" t="s">
        <v>1362</v>
      </c>
      <c r="B1102" t="s">
        <v>30</v>
      </c>
      <c r="C1102" t="s">
        <v>161</v>
      </c>
      <c r="D1102" t="s">
        <v>87</v>
      </c>
      <c r="E1102" t="s">
        <v>346</v>
      </c>
      <c r="F1102" t="s">
        <v>17</v>
      </c>
      <c r="G1102" t="s">
        <v>18</v>
      </c>
      <c r="H1102" s="1">
        <v>45576</v>
      </c>
      <c r="I1102" s="1">
        <v>45576</v>
      </c>
      <c r="J1102">
        <f>Sheet1[[#This Row],[Close Date]]-Sheet1[[#This Row],[Open Date]]</f>
        <v>0</v>
      </c>
      <c r="K1102" t="str">
        <f>IF(Sheet1[[#This Row],[Actual Days]]&gt;=1,"Not Met","Met")</f>
        <v>Met</v>
      </c>
      <c r="L1102" t="str">
        <f>TEXT(Sheet1[[#This Row],[Open Date]],"mmm")</f>
        <v>Oct</v>
      </c>
    </row>
    <row r="1103" spans="1:12" x14ac:dyDescent="0.3">
      <c r="A1103" t="s">
        <v>1363</v>
      </c>
      <c r="B1103" t="s">
        <v>30</v>
      </c>
      <c r="C1103" t="s">
        <v>51</v>
      </c>
      <c r="D1103" t="s">
        <v>32</v>
      </c>
      <c r="E1103" t="s">
        <v>378</v>
      </c>
      <c r="F1103" t="s">
        <v>17</v>
      </c>
      <c r="G1103" t="s">
        <v>18</v>
      </c>
      <c r="H1103" s="1">
        <v>45546</v>
      </c>
      <c r="I1103" s="1">
        <v>45547</v>
      </c>
      <c r="J1103">
        <f>Sheet1[[#This Row],[Close Date]]-Sheet1[[#This Row],[Open Date]]</f>
        <v>1</v>
      </c>
      <c r="K1103" t="str">
        <f>IF(Sheet1[[#This Row],[Actual Days]]&gt;=1,"Not Met","Met")</f>
        <v>Not Met</v>
      </c>
      <c r="L1103" t="str">
        <f>TEXT(Sheet1[[#This Row],[Open Date]],"mmm")</f>
        <v>Sep</v>
      </c>
    </row>
    <row r="1104" spans="1:12" x14ac:dyDescent="0.3">
      <c r="A1104" t="s">
        <v>1364</v>
      </c>
      <c r="B1104" t="s">
        <v>30</v>
      </c>
      <c r="C1104" t="s">
        <v>51</v>
      </c>
      <c r="D1104" t="s">
        <v>15</v>
      </c>
      <c r="E1104" t="s">
        <v>382</v>
      </c>
      <c r="F1104" t="s">
        <v>40</v>
      </c>
      <c r="G1104" t="s">
        <v>18</v>
      </c>
      <c r="H1104" s="1">
        <v>45478</v>
      </c>
      <c r="I1104" s="1">
        <v>45478</v>
      </c>
      <c r="J1104">
        <f>Sheet1[[#This Row],[Close Date]]-Sheet1[[#This Row],[Open Date]]</f>
        <v>0</v>
      </c>
      <c r="K1104" t="str">
        <f>IF(Sheet1[[#This Row],[Actual Days]]&gt;=1,"Not Met","Met")</f>
        <v>Met</v>
      </c>
      <c r="L1104" t="str">
        <f>TEXT(Sheet1[[#This Row],[Open Date]],"mmm")</f>
        <v>Jul</v>
      </c>
    </row>
    <row r="1105" spans="1:12" x14ac:dyDescent="0.3">
      <c r="A1105" t="s">
        <v>1365</v>
      </c>
      <c r="B1105" t="s">
        <v>30</v>
      </c>
      <c r="C1105" t="s">
        <v>51</v>
      </c>
      <c r="D1105" t="s">
        <v>38</v>
      </c>
      <c r="E1105" t="s">
        <v>390</v>
      </c>
      <c r="F1105" t="s">
        <v>17</v>
      </c>
      <c r="G1105" t="s">
        <v>59</v>
      </c>
      <c r="H1105" s="1">
        <v>45565</v>
      </c>
      <c r="I1105" s="1">
        <v>45565</v>
      </c>
      <c r="J1105">
        <f>Sheet1[[#This Row],[Close Date]]-Sheet1[[#This Row],[Open Date]]</f>
        <v>0</v>
      </c>
      <c r="K1105" t="str">
        <f>IF(Sheet1[[#This Row],[Actual Days]]&gt;=1,"Not Met","Met")</f>
        <v>Met</v>
      </c>
      <c r="L1105" t="str">
        <f>TEXT(Sheet1[[#This Row],[Open Date]],"mmm")</f>
        <v>Sep</v>
      </c>
    </row>
    <row r="1106" spans="1:12" x14ac:dyDescent="0.3">
      <c r="A1106" t="s">
        <v>1366</v>
      </c>
      <c r="B1106" t="s">
        <v>30</v>
      </c>
      <c r="C1106" t="s">
        <v>31</v>
      </c>
      <c r="D1106" t="s">
        <v>38</v>
      </c>
      <c r="E1106" t="s">
        <v>414</v>
      </c>
      <c r="F1106" t="s">
        <v>40</v>
      </c>
      <c r="G1106" t="s">
        <v>18</v>
      </c>
      <c r="H1106" s="1">
        <v>45585</v>
      </c>
      <c r="I1106" s="1">
        <v>45585</v>
      </c>
      <c r="J1106">
        <f>Sheet1[[#This Row],[Close Date]]-Sheet1[[#This Row],[Open Date]]</f>
        <v>0</v>
      </c>
      <c r="K1106" t="str">
        <f>IF(Sheet1[[#This Row],[Actual Days]]&gt;=1,"Not Met","Met")</f>
        <v>Met</v>
      </c>
      <c r="L1106" t="str">
        <f>TEXT(Sheet1[[#This Row],[Open Date]],"mmm")</f>
        <v>Oct</v>
      </c>
    </row>
    <row r="1107" spans="1:12" x14ac:dyDescent="0.3">
      <c r="A1107" t="s">
        <v>1367</v>
      </c>
      <c r="B1107" t="s">
        <v>30</v>
      </c>
      <c r="C1107" t="s">
        <v>31</v>
      </c>
      <c r="D1107" t="s">
        <v>24</v>
      </c>
      <c r="E1107" t="s">
        <v>416</v>
      </c>
      <c r="F1107" t="s">
        <v>40</v>
      </c>
      <c r="G1107" t="s">
        <v>27</v>
      </c>
      <c r="H1107" s="1">
        <v>45615</v>
      </c>
      <c r="I1107" s="1">
        <v>45615</v>
      </c>
      <c r="J1107">
        <f>Sheet1[[#This Row],[Close Date]]-Sheet1[[#This Row],[Open Date]]</f>
        <v>0</v>
      </c>
      <c r="K1107" t="str">
        <f>IF(Sheet1[[#This Row],[Actual Days]]&gt;=1,"Not Met","Met")</f>
        <v>Met</v>
      </c>
      <c r="L1107" t="str">
        <f>TEXT(Sheet1[[#This Row],[Open Date]],"mmm")</f>
        <v>Nov</v>
      </c>
    </row>
    <row r="1108" spans="1:12" x14ac:dyDescent="0.3">
      <c r="A1108" t="s">
        <v>1368</v>
      </c>
      <c r="B1108" t="s">
        <v>30</v>
      </c>
      <c r="C1108" t="s">
        <v>51</v>
      </c>
      <c r="D1108" t="s">
        <v>87</v>
      </c>
      <c r="E1108" t="s">
        <v>418</v>
      </c>
      <c r="F1108" t="s">
        <v>26</v>
      </c>
      <c r="G1108" t="s">
        <v>49</v>
      </c>
      <c r="H1108" s="1">
        <v>45518</v>
      </c>
      <c r="I1108" s="1">
        <v>45518</v>
      </c>
      <c r="J1108">
        <f>Sheet1[[#This Row],[Close Date]]-Sheet1[[#This Row],[Open Date]]</f>
        <v>0</v>
      </c>
      <c r="K1108" t="str">
        <f>IF(Sheet1[[#This Row],[Actual Days]]&gt;=1,"Not Met","Met")</f>
        <v>Met</v>
      </c>
      <c r="L1108" t="str">
        <f>TEXT(Sheet1[[#This Row],[Open Date]],"mmm")</f>
        <v>Aug</v>
      </c>
    </row>
    <row r="1109" spans="1:12" x14ac:dyDescent="0.3">
      <c r="A1109" t="s">
        <v>1369</v>
      </c>
      <c r="B1109" t="s">
        <v>30</v>
      </c>
      <c r="C1109" t="s">
        <v>161</v>
      </c>
      <c r="D1109" t="s">
        <v>94</v>
      </c>
      <c r="E1109" t="s">
        <v>422</v>
      </c>
      <c r="F1109" t="s">
        <v>17</v>
      </c>
      <c r="G1109" t="s">
        <v>18</v>
      </c>
      <c r="H1109" s="1">
        <v>45628</v>
      </c>
      <c r="I1109" s="1">
        <v>45628</v>
      </c>
      <c r="J1109">
        <f>Sheet1[[#This Row],[Close Date]]-Sheet1[[#This Row],[Open Date]]</f>
        <v>0</v>
      </c>
      <c r="K1109" t="str">
        <f>IF(Sheet1[[#This Row],[Actual Days]]&gt;=1,"Not Met","Met")</f>
        <v>Met</v>
      </c>
      <c r="L1109" t="str">
        <f>TEXT(Sheet1[[#This Row],[Open Date]],"mmm")</f>
        <v>Dec</v>
      </c>
    </row>
    <row r="1110" spans="1:12" x14ac:dyDescent="0.3">
      <c r="A1110" t="s">
        <v>1370</v>
      </c>
      <c r="B1110" t="s">
        <v>30</v>
      </c>
      <c r="C1110" t="s">
        <v>51</v>
      </c>
      <c r="D1110" t="s">
        <v>73</v>
      </c>
      <c r="E1110" t="s">
        <v>436</v>
      </c>
      <c r="F1110" t="s">
        <v>40</v>
      </c>
      <c r="G1110" t="s">
        <v>34</v>
      </c>
      <c r="H1110" s="1">
        <v>45633</v>
      </c>
      <c r="I1110" s="1">
        <v>45633</v>
      </c>
      <c r="J1110">
        <f>Sheet1[[#This Row],[Close Date]]-Sheet1[[#This Row],[Open Date]]</f>
        <v>0</v>
      </c>
      <c r="K1110" t="str">
        <f>IF(Sheet1[[#This Row],[Actual Days]]&gt;=1,"Not Met","Met")</f>
        <v>Met</v>
      </c>
      <c r="L1110" t="str">
        <f>TEXT(Sheet1[[#This Row],[Open Date]],"mmm")</f>
        <v>Dec</v>
      </c>
    </row>
    <row r="1111" spans="1:12" x14ac:dyDescent="0.3">
      <c r="A1111" t="s">
        <v>1371</v>
      </c>
      <c r="B1111" t="s">
        <v>30</v>
      </c>
      <c r="C1111" t="s">
        <v>31</v>
      </c>
      <c r="D1111" t="s">
        <v>38</v>
      </c>
      <c r="E1111" t="s">
        <v>438</v>
      </c>
      <c r="F1111" t="s">
        <v>26</v>
      </c>
      <c r="G1111" t="s">
        <v>49</v>
      </c>
      <c r="H1111" s="1">
        <v>45474</v>
      </c>
      <c r="I1111" s="1">
        <v>45474</v>
      </c>
      <c r="J1111">
        <f>Sheet1[[#This Row],[Close Date]]-Sheet1[[#This Row],[Open Date]]</f>
        <v>0</v>
      </c>
      <c r="K1111" t="str">
        <f>IF(Sheet1[[#This Row],[Actual Days]]&gt;=1,"Not Met","Met")</f>
        <v>Met</v>
      </c>
      <c r="L1111" t="str">
        <f>TEXT(Sheet1[[#This Row],[Open Date]],"mmm")</f>
        <v>Jul</v>
      </c>
    </row>
    <row r="1112" spans="1:12" x14ac:dyDescent="0.3">
      <c r="A1112" t="s">
        <v>1372</v>
      </c>
      <c r="B1112" t="s">
        <v>30</v>
      </c>
      <c r="C1112" t="s">
        <v>31</v>
      </c>
      <c r="D1112" t="s">
        <v>38</v>
      </c>
      <c r="E1112" t="s">
        <v>442</v>
      </c>
      <c r="F1112" t="s">
        <v>17</v>
      </c>
      <c r="G1112" t="s">
        <v>45</v>
      </c>
      <c r="H1112" s="1">
        <v>45492</v>
      </c>
      <c r="I1112" s="1">
        <v>45492</v>
      </c>
      <c r="J1112">
        <f>Sheet1[[#This Row],[Close Date]]-Sheet1[[#This Row],[Open Date]]</f>
        <v>0</v>
      </c>
      <c r="K1112" t="str">
        <f>IF(Sheet1[[#This Row],[Actual Days]]&gt;=1,"Not Met","Met")</f>
        <v>Met</v>
      </c>
      <c r="L1112" t="str">
        <f>TEXT(Sheet1[[#This Row],[Open Date]],"mmm")</f>
        <v>Jul</v>
      </c>
    </row>
    <row r="1113" spans="1:12" x14ac:dyDescent="0.3">
      <c r="A1113" t="s">
        <v>1373</v>
      </c>
      <c r="B1113" t="s">
        <v>30</v>
      </c>
      <c r="C1113" t="s">
        <v>161</v>
      </c>
      <c r="D1113" t="s">
        <v>38</v>
      </c>
      <c r="E1113" t="s">
        <v>230</v>
      </c>
      <c r="F1113" t="s">
        <v>26</v>
      </c>
      <c r="G1113" t="s">
        <v>27</v>
      </c>
      <c r="H1113" s="1">
        <v>45592</v>
      </c>
      <c r="I1113" s="1">
        <v>45592</v>
      </c>
      <c r="J1113">
        <f>Sheet1[[#This Row],[Close Date]]-Sheet1[[#This Row],[Open Date]]</f>
        <v>0</v>
      </c>
      <c r="K1113" t="str">
        <f>IF(Sheet1[[#This Row],[Actual Days]]&gt;=1,"Not Met","Met")</f>
        <v>Met</v>
      </c>
      <c r="L1113" t="str">
        <f>TEXT(Sheet1[[#This Row],[Open Date]],"mmm")</f>
        <v>Oct</v>
      </c>
    </row>
    <row r="1114" spans="1:12" x14ac:dyDescent="0.3">
      <c r="A1114" t="s">
        <v>1374</v>
      </c>
      <c r="B1114" t="s">
        <v>30</v>
      </c>
      <c r="C1114" t="s">
        <v>161</v>
      </c>
      <c r="D1114" t="s">
        <v>38</v>
      </c>
      <c r="E1114" t="s">
        <v>242</v>
      </c>
      <c r="F1114" t="s">
        <v>40</v>
      </c>
      <c r="G1114" t="s">
        <v>59</v>
      </c>
      <c r="H1114" s="1">
        <v>45556</v>
      </c>
      <c r="I1114" s="1">
        <v>45556</v>
      </c>
      <c r="J1114">
        <f>Sheet1[[#This Row],[Close Date]]-Sheet1[[#This Row],[Open Date]]</f>
        <v>0</v>
      </c>
      <c r="K1114" t="str">
        <f>IF(Sheet1[[#This Row],[Actual Days]]&gt;=1,"Not Met","Met")</f>
        <v>Met</v>
      </c>
      <c r="L1114" t="str">
        <f>TEXT(Sheet1[[#This Row],[Open Date]],"mmm")</f>
        <v>Sep</v>
      </c>
    </row>
    <row r="1115" spans="1:12" x14ac:dyDescent="0.3">
      <c r="A1115" t="s">
        <v>1375</v>
      </c>
      <c r="B1115" t="s">
        <v>30</v>
      </c>
      <c r="C1115" t="s">
        <v>31</v>
      </c>
      <c r="D1115" t="s">
        <v>94</v>
      </c>
      <c r="E1115" t="s">
        <v>252</v>
      </c>
      <c r="F1115" t="s">
        <v>40</v>
      </c>
      <c r="G1115" t="s">
        <v>18</v>
      </c>
      <c r="H1115" s="1">
        <v>45540</v>
      </c>
      <c r="I1115" s="1">
        <v>45540</v>
      </c>
      <c r="J1115">
        <f>Sheet1[[#This Row],[Close Date]]-Sheet1[[#This Row],[Open Date]]</f>
        <v>0</v>
      </c>
      <c r="K1115" t="str">
        <f>IF(Sheet1[[#This Row],[Actual Days]]&gt;=1,"Not Met","Met")</f>
        <v>Met</v>
      </c>
      <c r="L1115" t="str">
        <f>TEXT(Sheet1[[#This Row],[Open Date]],"mmm")</f>
        <v>Sep</v>
      </c>
    </row>
    <row r="1116" spans="1:12" x14ac:dyDescent="0.3">
      <c r="A1116" t="s">
        <v>1376</v>
      </c>
      <c r="B1116" t="s">
        <v>30</v>
      </c>
      <c r="C1116" t="s">
        <v>51</v>
      </c>
      <c r="D1116" t="s">
        <v>94</v>
      </c>
      <c r="E1116" t="s">
        <v>260</v>
      </c>
      <c r="F1116" t="s">
        <v>40</v>
      </c>
      <c r="G1116" t="s">
        <v>27</v>
      </c>
      <c r="H1116" s="1">
        <v>45599</v>
      </c>
      <c r="I1116" s="1">
        <v>45599</v>
      </c>
      <c r="J1116">
        <f>Sheet1[[#This Row],[Close Date]]-Sheet1[[#This Row],[Open Date]]</f>
        <v>0</v>
      </c>
      <c r="K1116" t="str">
        <f>IF(Sheet1[[#This Row],[Actual Days]]&gt;=1,"Not Met","Met")</f>
        <v>Met</v>
      </c>
      <c r="L1116" t="str">
        <f>TEXT(Sheet1[[#This Row],[Open Date]],"mmm")</f>
        <v>Nov</v>
      </c>
    </row>
    <row r="1117" spans="1:12" x14ac:dyDescent="0.3">
      <c r="A1117" t="s">
        <v>1377</v>
      </c>
      <c r="B1117" t="s">
        <v>30</v>
      </c>
      <c r="C1117" t="s">
        <v>51</v>
      </c>
      <c r="D1117" t="s">
        <v>156</v>
      </c>
      <c r="E1117" t="s">
        <v>266</v>
      </c>
      <c r="F1117" t="s">
        <v>17</v>
      </c>
      <c r="G1117" t="s">
        <v>45</v>
      </c>
      <c r="H1117" s="1">
        <v>45595</v>
      </c>
      <c r="I1117" s="1">
        <v>45595</v>
      </c>
      <c r="J1117">
        <f>Sheet1[[#This Row],[Close Date]]-Sheet1[[#This Row],[Open Date]]</f>
        <v>0</v>
      </c>
      <c r="K1117" t="str">
        <f>IF(Sheet1[[#This Row],[Actual Days]]&gt;=1,"Not Met","Met")</f>
        <v>Met</v>
      </c>
      <c r="L1117" t="str">
        <f>TEXT(Sheet1[[#This Row],[Open Date]],"mmm")</f>
        <v>Oct</v>
      </c>
    </row>
    <row r="1118" spans="1:12" x14ac:dyDescent="0.3">
      <c r="A1118" t="s">
        <v>1378</v>
      </c>
      <c r="B1118" t="s">
        <v>30</v>
      </c>
      <c r="C1118" t="s">
        <v>51</v>
      </c>
      <c r="D1118" t="s">
        <v>32</v>
      </c>
      <c r="E1118" t="s">
        <v>272</v>
      </c>
      <c r="F1118" t="s">
        <v>40</v>
      </c>
      <c r="G1118" t="s">
        <v>27</v>
      </c>
      <c r="H1118" s="1">
        <v>45540</v>
      </c>
      <c r="I1118" s="1">
        <v>45540</v>
      </c>
      <c r="J1118">
        <f>Sheet1[[#This Row],[Close Date]]-Sheet1[[#This Row],[Open Date]]</f>
        <v>0</v>
      </c>
      <c r="K1118" t="str">
        <f>IF(Sheet1[[#This Row],[Actual Days]]&gt;=1,"Not Met","Met")</f>
        <v>Met</v>
      </c>
      <c r="L1118" t="str">
        <f>TEXT(Sheet1[[#This Row],[Open Date]],"mmm")</f>
        <v>Sep</v>
      </c>
    </row>
    <row r="1119" spans="1:12" x14ac:dyDescent="0.3">
      <c r="A1119" t="s">
        <v>1379</v>
      </c>
      <c r="B1119" t="s">
        <v>30</v>
      </c>
      <c r="C1119" t="s">
        <v>31</v>
      </c>
      <c r="D1119" t="s">
        <v>38</v>
      </c>
      <c r="E1119" t="s">
        <v>274</v>
      </c>
      <c r="F1119" t="s">
        <v>40</v>
      </c>
      <c r="G1119" t="s">
        <v>34</v>
      </c>
      <c r="H1119" s="1">
        <v>45614</v>
      </c>
      <c r="I1119" s="1">
        <v>45614</v>
      </c>
      <c r="J1119">
        <f>Sheet1[[#This Row],[Close Date]]-Sheet1[[#This Row],[Open Date]]</f>
        <v>0</v>
      </c>
      <c r="K1119" t="str">
        <f>IF(Sheet1[[#This Row],[Actual Days]]&gt;=1,"Not Met","Met")</f>
        <v>Met</v>
      </c>
      <c r="L1119" t="str">
        <f>TEXT(Sheet1[[#This Row],[Open Date]],"mmm")</f>
        <v>Nov</v>
      </c>
    </row>
    <row r="1120" spans="1:12" x14ac:dyDescent="0.3">
      <c r="A1120" t="s">
        <v>1380</v>
      </c>
      <c r="B1120" t="s">
        <v>30</v>
      </c>
      <c r="C1120" t="s">
        <v>161</v>
      </c>
      <c r="D1120" t="s">
        <v>38</v>
      </c>
      <c r="E1120" t="s">
        <v>280</v>
      </c>
      <c r="F1120" t="s">
        <v>26</v>
      </c>
      <c r="G1120" t="s">
        <v>49</v>
      </c>
      <c r="H1120" s="1">
        <v>45495</v>
      </c>
      <c r="I1120" s="1">
        <v>45495</v>
      </c>
      <c r="J1120">
        <f>Sheet1[[#This Row],[Close Date]]-Sheet1[[#This Row],[Open Date]]</f>
        <v>0</v>
      </c>
      <c r="K1120" t="str">
        <f>IF(Sheet1[[#This Row],[Actual Days]]&gt;=1,"Not Met","Met")</f>
        <v>Met</v>
      </c>
      <c r="L1120" t="str">
        <f>TEXT(Sheet1[[#This Row],[Open Date]],"mmm")</f>
        <v>Jul</v>
      </c>
    </row>
    <row r="1121" spans="1:12" x14ac:dyDescent="0.3">
      <c r="A1121" t="s">
        <v>1381</v>
      </c>
      <c r="B1121" t="s">
        <v>30</v>
      </c>
      <c r="C1121" t="s">
        <v>31</v>
      </c>
      <c r="D1121" t="s">
        <v>73</v>
      </c>
      <c r="E1121" t="s">
        <v>288</v>
      </c>
      <c r="F1121" t="s">
        <v>26</v>
      </c>
      <c r="G1121" t="s">
        <v>27</v>
      </c>
      <c r="H1121" s="1">
        <v>45616</v>
      </c>
      <c r="I1121" s="1">
        <v>45616</v>
      </c>
      <c r="J1121">
        <f>Sheet1[[#This Row],[Close Date]]-Sheet1[[#This Row],[Open Date]]</f>
        <v>0</v>
      </c>
      <c r="K1121" t="str">
        <f>IF(Sheet1[[#This Row],[Actual Days]]&gt;=1,"Not Met","Met")</f>
        <v>Met</v>
      </c>
      <c r="L1121" t="str">
        <f>TEXT(Sheet1[[#This Row],[Open Date]],"mmm")</f>
        <v>Nov</v>
      </c>
    </row>
    <row r="1122" spans="1:12" x14ac:dyDescent="0.3">
      <c r="A1122" t="s">
        <v>1382</v>
      </c>
      <c r="B1122" t="s">
        <v>30</v>
      </c>
      <c r="C1122" t="s">
        <v>161</v>
      </c>
      <c r="D1122" t="s">
        <v>87</v>
      </c>
      <c r="E1122" t="s">
        <v>290</v>
      </c>
      <c r="F1122" t="s">
        <v>40</v>
      </c>
      <c r="G1122" t="s">
        <v>59</v>
      </c>
      <c r="H1122" s="1">
        <v>45478</v>
      </c>
      <c r="I1122" s="1">
        <v>45478</v>
      </c>
      <c r="J1122">
        <f>Sheet1[[#This Row],[Close Date]]-Sheet1[[#This Row],[Open Date]]</f>
        <v>0</v>
      </c>
      <c r="K1122" t="str">
        <f>IF(Sheet1[[#This Row],[Actual Days]]&gt;=1,"Not Met","Met")</f>
        <v>Met</v>
      </c>
      <c r="L1122" t="str">
        <f>TEXT(Sheet1[[#This Row],[Open Date]],"mmm")</f>
        <v>Jul</v>
      </c>
    </row>
    <row r="1123" spans="1:12" x14ac:dyDescent="0.3">
      <c r="A1123" t="s">
        <v>1383</v>
      </c>
      <c r="B1123" t="s">
        <v>30</v>
      </c>
      <c r="C1123" t="s">
        <v>31</v>
      </c>
      <c r="D1123" t="s">
        <v>24</v>
      </c>
      <c r="E1123" t="s">
        <v>306</v>
      </c>
      <c r="F1123" t="s">
        <v>26</v>
      </c>
      <c r="G1123" t="s">
        <v>18</v>
      </c>
      <c r="H1123" s="1">
        <v>45588</v>
      </c>
      <c r="I1123" s="1">
        <v>45588</v>
      </c>
      <c r="J1123">
        <f>Sheet1[[#This Row],[Close Date]]-Sheet1[[#This Row],[Open Date]]</f>
        <v>0</v>
      </c>
      <c r="K1123" t="str">
        <f>IF(Sheet1[[#This Row],[Actual Days]]&gt;=1,"Not Met","Met")</f>
        <v>Met</v>
      </c>
      <c r="L1123" t="str">
        <f>TEXT(Sheet1[[#This Row],[Open Date]],"mmm")</f>
        <v>Oct</v>
      </c>
    </row>
    <row r="1124" spans="1:12" x14ac:dyDescent="0.3">
      <c r="A1124" t="s">
        <v>1384</v>
      </c>
      <c r="B1124" t="s">
        <v>30</v>
      </c>
      <c r="C1124" t="s">
        <v>31</v>
      </c>
      <c r="D1124" t="s">
        <v>38</v>
      </c>
      <c r="E1124" t="s">
        <v>310</v>
      </c>
      <c r="F1124" t="s">
        <v>26</v>
      </c>
      <c r="G1124" t="s">
        <v>49</v>
      </c>
      <c r="H1124" s="1">
        <v>45598</v>
      </c>
      <c r="I1124" s="1">
        <v>45598</v>
      </c>
      <c r="J1124">
        <f>Sheet1[[#This Row],[Close Date]]-Sheet1[[#This Row],[Open Date]]</f>
        <v>0</v>
      </c>
      <c r="K1124" t="str">
        <f>IF(Sheet1[[#This Row],[Actual Days]]&gt;=1,"Not Met","Met")</f>
        <v>Met</v>
      </c>
      <c r="L1124" t="str">
        <f>TEXT(Sheet1[[#This Row],[Open Date]],"mmm")</f>
        <v>Nov</v>
      </c>
    </row>
    <row r="1125" spans="1:12" x14ac:dyDescent="0.3">
      <c r="A1125" t="s">
        <v>1385</v>
      </c>
      <c r="B1125" t="s">
        <v>30</v>
      </c>
      <c r="C1125" t="s">
        <v>51</v>
      </c>
      <c r="D1125" t="s">
        <v>73</v>
      </c>
      <c r="E1125" t="s">
        <v>314</v>
      </c>
      <c r="F1125" t="s">
        <v>17</v>
      </c>
      <c r="G1125" t="s">
        <v>18</v>
      </c>
      <c r="H1125" s="1">
        <v>45486</v>
      </c>
      <c r="I1125" s="1">
        <v>45486</v>
      </c>
      <c r="J1125">
        <f>Sheet1[[#This Row],[Close Date]]-Sheet1[[#This Row],[Open Date]]</f>
        <v>0</v>
      </c>
      <c r="K1125" t="str">
        <f>IF(Sheet1[[#This Row],[Actual Days]]&gt;=1,"Not Met","Met")</f>
        <v>Met</v>
      </c>
      <c r="L1125" t="str">
        <f>TEXT(Sheet1[[#This Row],[Open Date]],"mmm")</f>
        <v>Jul</v>
      </c>
    </row>
    <row r="1126" spans="1:12" x14ac:dyDescent="0.3">
      <c r="A1126" t="s">
        <v>1386</v>
      </c>
      <c r="B1126" t="s">
        <v>30</v>
      </c>
      <c r="C1126" t="s">
        <v>161</v>
      </c>
      <c r="D1126" t="s">
        <v>15</v>
      </c>
      <c r="E1126" t="s">
        <v>320</v>
      </c>
      <c r="F1126" t="s">
        <v>26</v>
      </c>
      <c r="G1126" t="s">
        <v>34</v>
      </c>
      <c r="H1126" s="1">
        <v>45484</v>
      </c>
      <c r="I1126" s="1">
        <v>45484</v>
      </c>
      <c r="J1126">
        <f>Sheet1[[#This Row],[Close Date]]-Sheet1[[#This Row],[Open Date]]</f>
        <v>0</v>
      </c>
      <c r="K1126" t="str">
        <f>IF(Sheet1[[#This Row],[Actual Days]]&gt;=1,"Not Met","Met")</f>
        <v>Met</v>
      </c>
      <c r="L1126" t="str">
        <f>TEXT(Sheet1[[#This Row],[Open Date]],"mmm")</f>
        <v>Jul</v>
      </c>
    </row>
    <row r="1127" spans="1:12" x14ac:dyDescent="0.3">
      <c r="A1127" t="s">
        <v>1387</v>
      </c>
      <c r="B1127" t="s">
        <v>30</v>
      </c>
      <c r="C1127" t="s">
        <v>161</v>
      </c>
      <c r="D1127" t="s">
        <v>87</v>
      </c>
      <c r="E1127" t="s">
        <v>346</v>
      </c>
      <c r="F1127" t="s">
        <v>17</v>
      </c>
      <c r="G1127" t="s">
        <v>18</v>
      </c>
      <c r="H1127" s="1">
        <v>45576</v>
      </c>
      <c r="I1127" s="1">
        <v>45576</v>
      </c>
      <c r="J1127">
        <f>Sheet1[[#This Row],[Close Date]]-Sheet1[[#This Row],[Open Date]]</f>
        <v>0</v>
      </c>
      <c r="K1127" t="str">
        <f>IF(Sheet1[[#This Row],[Actual Days]]&gt;=1,"Not Met","Met")</f>
        <v>Met</v>
      </c>
      <c r="L1127" t="str">
        <f>TEXT(Sheet1[[#This Row],[Open Date]],"mmm")</f>
        <v>Oct</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2399AA-94C4-4ACC-863C-05D641336FD3}">
  <dimension ref="A1:S28"/>
  <sheetViews>
    <sheetView showGridLines="0" tabSelected="1" zoomScale="80" zoomScaleNormal="80" workbookViewId="0">
      <selection activeCell="F40" sqref="F40"/>
    </sheetView>
  </sheetViews>
  <sheetFormatPr defaultRowHeight="14.4" x14ac:dyDescent="0.3"/>
  <sheetData>
    <row r="1" spans="1:19" x14ac:dyDescent="0.3">
      <c r="A1" s="7"/>
      <c r="B1" s="7"/>
      <c r="C1" s="7"/>
      <c r="D1" s="7"/>
      <c r="E1" s="7"/>
      <c r="F1" s="7"/>
      <c r="G1" s="7"/>
      <c r="H1" s="7"/>
      <c r="I1" s="7"/>
      <c r="J1" s="7"/>
      <c r="K1" s="7"/>
      <c r="L1" s="7"/>
      <c r="M1" s="7"/>
      <c r="N1" s="7"/>
      <c r="O1" s="7"/>
      <c r="P1" s="7"/>
      <c r="Q1" s="7"/>
      <c r="R1" s="7"/>
      <c r="S1" s="7"/>
    </row>
    <row r="2" spans="1:19" x14ac:dyDescent="0.3">
      <c r="A2" s="7"/>
      <c r="B2" s="7"/>
      <c r="C2" s="7"/>
      <c r="D2" s="7"/>
      <c r="E2" s="7"/>
      <c r="F2" s="7"/>
      <c r="G2" s="7"/>
      <c r="H2" s="7"/>
      <c r="I2" s="7"/>
      <c r="J2" s="7"/>
      <c r="K2" s="7"/>
      <c r="L2" s="7"/>
      <c r="M2" s="7"/>
      <c r="N2" s="7"/>
      <c r="O2" s="7"/>
      <c r="P2" s="7"/>
      <c r="Q2" s="7"/>
      <c r="R2" s="7"/>
      <c r="S2" s="7"/>
    </row>
    <row r="3" spans="1:19" x14ac:dyDescent="0.3">
      <c r="A3" s="7"/>
      <c r="B3" s="7"/>
      <c r="C3" s="7"/>
      <c r="D3" s="7"/>
      <c r="E3" s="7"/>
      <c r="F3" s="7"/>
      <c r="G3" s="7"/>
      <c r="H3" s="7"/>
      <c r="I3" s="7"/>
      <c r="J3" s="7"/>
      <c r="K3" s="7"/>
      <c r="L3" s="7"/>
      <c r="M3" s="7"/>
      <c r="N3" s="7"/>
      <c r="O3" s="7"/>
      <c r="P3" s="7"/>
      <c r="Q3" s="7"/>
      <c r="R3" s="7"/>
      <c r="S3" s="7"/>
    </row>
    <row r="4" spans="1:19" x14ac:dyDescent="0.3">
      <c r="A4" s="7"/>
      <c r="B4" s="7"/>
      <c r="C4" s="7"/>
      <c r="D4" s="7"/>
      <c r="E4" s="7"/>
      <c r="F4" s="7"/>
      <c r="G4" s="7"/>
      <c r="H4" s="7"/>
      <c r="I4" s="7"/>
      <c r="J4" s="7"/>
      <c r="K4" s="7"/>
      <c r="L4" s="7"/>
      <c r="M4" s="7"/>
      <c r="N4" s="7"/>
      <c r="O4" s="7"/>
      <c r="P4" s="7"/>
      <c r="Q4" s="7"/>
      <c r="R4" s="7"/>
      <c r="S4" s="7"/>
    </row>
    <row r="5" spans="1:19" x14ac:dyDescent="0.3">
      <c r="A5" s="7"/>
      <c r="B5" s="7"/>
      <c r="C5" s="7"/>
      <c r="D5" s="7"/>
      <c r="E5" s="7"/>
      <c r="F5" s="7"/>
      <c r="G5" s="7"/>
      <c r="H5" s="7"/>
      <c r="I5" s="7"/>
      <c r="J5" s="7"/>
      <c r="K5" s="7"/>
      <c r="L5" s="7"/>
      <c r="M5" s="7"/>
      <c r="N5" s="7"/>
      <c r="O5" s="7"/>
      <c r="P5" s="7"/>
      <c r="Q5" s="7"/>
      <c r="R5" s="7"/>
      <c r="S5" s="7"/>
    </row>
    <row r="6" spans="1:19" x14ac:dyDescent="0.3">
      <c r="A6" s="7"/>
      <c r="B6" s="7"/>
      <c r="C6" s="7"/>
      <c r="D6" s="7"/>
      <c r="E6" s="8"/>
      <c r="F6" s="7"/>
      <c r="G6" s="7"/>
      <c r="H6" s="7"/>
      <c r="I6" s="7"/>
      <c r="J6" s="7"/>
      <c r="K6" s="7"/>
      <c r="L6" s="7"/>
      <c r="M6" s="7"/>
      <c r="N6" s="7"/>
      <c r="O6" s="7"/>
      <c r="P6" s="7"/>
      <c r="Q6" s="7"/>
      <c r="R6" s="7"/>
      <c r="S6" s="7"/>
    </row>
    <row r="7" spans="1:19" x14ac:dyDescent="0.3">
      <c r="A7" s="7"/>
      <c r="B7" s="7"/>
      <c r="C7" s="7"/>
      <c r="D7" s="7"/>
      <c r="E7" s="7"/>
      <c r="F7" s="7"/>
      <c r="G7" s="7"/>
      <c r="H7" s="7"/>
      <c r="I7" s="7"/>
      <c r="J7" s="7"/>
      <c r="K7" s="7"/>
      <c r="L7" s="7"/>
      <c r="M7" s="7"/>
      <c r="N7" s="7"/>
      <c r="O7" s="7"/>
      <c r="P7" s="7"/>
      <c r="Q7" s="7"/>
      <c r="R7" s="7"/>
      <c r="S7" s="7"/>
    </row>
    <row r="8" spans="1:19" x14ac:dyDescent="0.3">
      <c r="A8" s="7"/>
      <c r="B8" s="7"/>
      <c r="C8" s="7"/>
      <c r="D8" s="7"/>
      <c r="E8" s="7"/>
      <c r="F8" s="7"/>
      <c r="G8" s="7"/>
      <c r="H8" s="7"/>
      <c r="I8" s="7"/>
      <c r="J8" s="7"/>
      <c r="K8" s="7"/>
      <c r="L8" s="7"/>
      <c r="M8" s="7"/>
      <c r="N8" s="7"/>
      <c r="O8" s="7"/>
      <c r="P8" s="7"/>
      <c r="Q8" s="7"/>
      <c r="R8" s="7"/>
      <c r="S8" s="7"/>
    </row>
    <row r="9" spans="1:19" x14ac:dyDescent="0.3">
      <c r="A9" s="7"/>
      <c r="B9" s="7"/>
      <c r="C9" s="7"/>
      <c r="D9" s="7"/>
      <c r="E9" s="7"/>
      <c r="F9" s="7"/>
      <c r="G9" s="7"/>
      <c r="H9" s="7"/>
      <c r="I9" s="7"/>
      <c r="J9" s="7"/>
      <c r="K9" s="7"/>
      <c r="L9" s="7"/>
      <c r="M9" s="7"/>
      <c r="N9" s="7"/>
      <c r="O9" s="7"/>
      <c r="P9" s="7"/>
      <c r="Q9" s="7"/>
      <c r="R9" s="7"/>
      <c r="S9" s="7"/>
    </row>
    <row r="10" spans="1:19" x14ac:dyDescent="0.3">
      <c r="A10" s="7"/>
      <c r="B10" s="7"/>
      <c r="C10" s="7"/>
      <c r="D10" s="7"/>
      <c r="E10" s="7"/>
      <c r="F10" s="7"/>
      <c r="G10" s="7"/>
      <c r="H10" s="7"/>
      <c r="I10" s="7"/>
      <c r="J10" s="7"/>
      <c r="K10" s="7"/>
      <c r="L10" s="7"/>
      <c r="M10" s="7"/>
      <c r="N10" s="7"/>
      <c r="O10" s="7"/>
      <c r="P10" s="7"/>
      <c r="Q10" s="7"/>
      <c r="R10" s="7"/>
      <c r="S10" s="7"/>
    </row>
    <row r="11" spans="1:19" x14ac:dyDescent="0.3">
      <c r="A11" s="7"/>
      <c r="B11" s="7"/>
      <c r="C11" s="7"/>
      <c r="D11" s="7"/>
      <c r="E11" s="7"/>
      <c r="F11" s="7"/>
      <c r="G11" s="7"/>
      <c r="H11" s="7"/>
      <c r="I11" s="7"/>
      <c r="J11" s="7"/>
      <c r="K11" s="7"/>
      <c r="L11" s="7"/>
      <c r="M11" s="7"/>
      <c r="N11" s="7"/>
      <c r="O11" s="7"/>
      <c r="P11" s="7"/>
      <c r="Q11" s="7"/>
      <c r="R11" s="7"/>
      <c r="S11" s="7"/>
    </row>
    <row r="12" spans="1:19" x14ac:dyDescent="0.3">
      <c r="A12" s="7"/>
      <c r="B12" s="7"/>
      <c r="C12" s="7"/>
      <c r="D12" s="7"/>
      <c r="E12" s="7"/>
      <c r="F12" s="7"/>
      <c r="G12" s="7"/>
      <c r="H12" s="7"/>
      <c r="I12" s="7"/>
      <c r="J12" s="7"/>
      <c r="K12" s="7"/>
      <c r="L12" s="7"/>
      <c r="M12" s="7"/>
      <c r="N12" s="7"/>
      <c r="O12" s="7"/>
      <c r="P12" s="7"/>
      <c r="Q12" s="7"/>
      <c r="R12" s="7"/>
      <c r="S12" s="7"/>
    </row>
    <row r="13" spans="1:19" x14ac:dyDescent="0.3">
      <c r="A13" s="7"/>
      <c r="B13" s="7"/>
      <c r="C13" s="7"/>
      <c r="D13" s="7"/>
      <c r="E13" s="7"/>
      <c r="F13" s="7"/>
      <c r="G13" s="7"/>
      <c r="H13" s="7"/>
      <c r="I13" s="7"/>
      <c r="J13" s="7"/>
      <c r="K13" s="7"/>
      <c r="L13" s="7"/>
      <c r="M13" s="7"/>
      <c r="N13" s="7"/>
      <c r="O13" s="7"/>
      <c r="P13" s="7"/>
      <c r="Q13" s="7"/>
      <c r="R13" s="7"/>
      <c r="S13" s="7"/>
    </row>
    <row r="14" spans="1:19" x14ac:dyDescent="0.3">
      <c r="A14" s="7"/>
      <c r="B14" s="7"/>
      <c r="C14" s="7"/>
      <c r="D14" s="7"/>
      <c r="E14" s="7"/>
      <c r="F14" s="7"/>
      <c r="G14" s="7"/>
      <c r="H14" s="7"/>
      <c r="I14" s="7"/>
      <c r="J14" s="7"/>
      <c r="K14" s="7"/>
      <c r="L14" s="7"/>
      <c r="M14" s="7"/>
      <c r="N14" s="7"/>
      <c r="O14" s="7"/>
      <c r="P14" s="7"/>
      <c r="Q14" s="7"/>
      <c r="R14" s="7"/>
      <c r="S14" s="7"/>
    </row>
    <row r="15" spans="1:19" x14ac:dyDescent="0.3">
      <c r="A15" s="7"/>
      <c r="B15" s="7"/>
      <c r="C15" s="7"/>
      <c r="D15" s="7"/>
      <c r="E15" s="7"/>
      <c r="F15" s="7"/>
      <c r="G15" s="7"/>
      <c r="H15" s="7"/>
      <c r="I15" s="7"/>
      <c r="J15" s="7"/>
      <c r="K15" s="7"/>
      <c r="L15" s="7"/>
      <c r="M15" s="7"/>
      <c r="N15" s="7"/>
      <c r="O15" s="7"/>
      <c r="P15" s="7"/>
      <c r="Q15" s="7"/>
      <c r="R15" s="7"/>
      <c r="S15" s="7"/>
    </row>
    <row r="16" spans="1:19" x14ac:dyDescent="0.3">
      <c r="A16" s="7"/>
      <c r="B16" s="7"/>
      <c r="C16" s="7"/>
      <c r="D16" s="7"/>
      <c r="E16" s="7"/>
      <c r="F16" s="7"/>
      <c r="G16" s="7"/>
      <c r="H16" s="7"/>
      <c r="I16" s="7"/>
      <c r="J16" s="7"/>
      <c r="K16" s="7"/>
      <c r="L16" s="7"/>
      <c r="M16" s="7"/>
      <c r="N16" s="7"/>
      <c r="O16" s="7"/>
      <c r="P16" s="7"/>
      <c r="Q16" s="7"/>
      <c r="R16" s="7"/>
      <c r="S16" s="7"/>
    </row>
    <row r="17" spans="1:19" x14ac:dyDescent="0.3">
      <c r="A17" s="7"/>
      <c r="B17" s="7"/>
      <c r="C17" s="7"/>
      <c r="D17" s="7"/>
      <c r="E17" s="7"/>
      <c r="F17" s="7"/>
      <c r="G17" s="7"/>
      <c r="H17" s="7"/>
      <c r="I17" s="7"/>
      <c r="J17" s="7"/>
      <c r="K17" s="7"/>
      <c r="L17" s="7"/>
      <c r="M17" s="7"/>
      <c r="N17" s="7"/>
      <c r="O17" s="7"/>
      <c r="P17" s="7"/>
      <c r="Q17" s="7"/>
      <c r="R17" s="7"/>
      <c r="S17" s="7"/>
    </row>
    <row r="18" spans="1:19" x14ac:dyDescent="0.3">
      <c r="A18" s="7"/>
      <c r="B18" s="7"/>
      <c r="C18" s="7"/>
      <c r="D18" s="7"/>
      <c r="E18" s="7"/>
      <c r="F18" s="7"/>
      <c r="G18" s="7"/>
      <c r="H18" s="7"/>
      <c r="I18" s="7"/>
      <c r="J18" s="7"/>
      <c r="K18" s="7"/>
      <c r="L18" s="7"/>
      <c r="M18" s="7"/>
      <c r="N18" s="7"/>
      <c r="O18" s="7"/>
      <c r="P18" s="7"/>
      <c r="Q18" s="7"/>
      <c r="R18" s="7"/>
      <c r="S18" s="7"/>
    </row>
    <row r="19" spans="1:19" x14ac:dyDescent="0.3">
      <c r="A19" s="7"/>
      <c r="B19" s="7"/>
      <c r="C19" s="7"/>
      <c r="D19" s="7"/>
      <c r="E19" s="7"/>
      <c r="F19" s="7"/>
      <c r="G19" s="7"/>
      <c r="H19" s="7"/>
      <c r="I19" s="7"/>
      <c r="J19" s="7"/>
      <c r="K19" s="7"/>
      <c r="L19" s="7"/>
      <c r="M19" s="7"/>
      <c r="N19" s="7"/>
      <c r="O19" s="7"/>
      <c r="P19" s="7"/>
      <c r="Q19" s="7"/>
      <c r="R19" s="7"/>
      <c r="S19" s="7"/>
    </row>
    <row r="20" spans="1:19" x14ac:dyDescent="0.3">
      <c r="A20" s="7"/>
      <c r="B20" s="7"/>
      <c r="C20" s="7"/>
      <c r="D20" s="7"/>
      <c r="E20" s="7"/>
      <c r="F20" s="7"/>
      <c r="G20" s="7"/>
      <c r="H20" s="7"/>
      <c r="I20" s="7"/>
      <c r="J20" s="7"/>
      <c r="K20" s="7"/>
      <c r="L20" s="7"/>
      <c r="M20" s="7"/>
      <c r="N20" s="7"/>
      <c r="O20" s="7"/>
      <c r="P20" s="7"/>
      <c r="Q20" s="7"/>
      <c r="R20" s="7"/>
      <c r="S20" s="7"/>
    </row>
    <row r="21" spans="1:19" x14ac:dyDescent="0.3">
      <c r="A21" s="7"/>
      <c r="B21" s="7"/>
      <c r="C21" s="7"/>
      <c r="D21" s="7"/>
      <c r="E21" s="7"/>
      <c r="F21" s="7"/>
      <c r="G21" s="7"/>
      <c r="H21" s="7"/>
      <c r="I21" s="7"/>
      <c r="J21" s="7"/>
      <c r="K21" s="7"/>
      <c r="L21" s="7"/>
      <c r="M21" s="7"/>
      <c r="N21" s="7"/>
      <c r="O21" s="7"/>
      <c r="P21" s="7"/>
      <c r="Q21" s="7"/>
      <c r="R21" s="7"/>
      <c r="S21" s="7"/>
    </row>
    <row r="22" spans="1:19" x14ac:dyDescent="0.3">
      <c r="A22" s="7"/>
      <c r="B22" s="7"/>
      <c r="C22" s="7"/>
      <c r="D22" s="7"/>
      <c r="E22" s="7"/>
      <c r="F22" s="7"/>
      <c r="G22" s="7"/>
      <c r="H22" s="7"/>
      <c r="I22" s="7"/>
      <c r="J22" s="7"/>
      <c r="K22" s="7"/>
      <c r="L22" s="7"/>
      <c r="M22" s="7"/>
      <c r="N22" s="7"/>
      <c r="O22" s="7"/>
      <c r="P22" s="7"/>
      <c r="Q22" s="7"/>
      <c r="R22" s="7"/>
      <c r="S22" s="7"/>
    </row>
    <row r="23" spans="1:19" x14ac:dyDescent="0.3">
      <c r="A23" s="7"/>
      <c r="B23" s="7"/>
      <c r="C23" s="7"/>
      <c r="D23" s="7"/>
      <c r="E23" s="7"/>
      <c r="F23" s="7"/>
      <c r="G23" s="7"/>
      <c r="H23" s="7"/>
      <c r="I23" s="7"/>
      <c r="J23" s="7"/>
      <c r="K23" s="7"/>
      <c r="L23" s="7"/>
      <c r="M23" s="7"/>
      <c r="N23" s="7"/>
      <c r="O23" s="7"/>
      <c r="P23" s="7"/>
      <c r="Q23" s="7"/>
      <c r="R23" s="7"/>
      <c r="S23" s="7"/>
    </row>
    <row r="24" spans="1:19" x14ac:dyDescent="0.3">
      <c r="A24" s="7"/>
      <c r="B24" s="7"/>
      <c r="C24" s="7"/>
      <c r="D24" s="7"/>
      <c r="E24" s="7"/>
      <c r="F24" s="7"/>
      <c r="G24" s="7"/>
      <c r="H24" s="7"/>
      <c r="I24" s="7"/>
      <c r="J24" s="7"/>
      <c r="K24" s="7"/>
      <c r="L24" s="7"/>
      <c r="M24" s="7"/>
      <c r="N24" s="7"/>
      <c r="O24" s="7"/>
      <c r="P24" s="7"/>
      <c r="Q24" s="7"/>
      <c r="R24" s="7"/>
      <c r="S24" s="7"/>
    </row>
    <row r="25" spans="1:19" x14ac:dyDescent="0.3">
      <c r="A25" s="7"/>
      <c r="B25" s="7"/>
      <c r="C25" s="7"/>
      <c r="D25" s="7"/>
      <c r="E25" s="7"/>
      <c r="F25" s="7"/>
      <c r="G25" s="7"/>
      <c r="H25" s="7"/>
      <c r="I25" s="7"/>
      <c r="J25" s="7"/>
      <c r="K25" s="7"/>
      <c r="L25" s="7"/>
      <c r="M25" s="7"/>
      <c r="N25" s="7"/>
      <c r="O25" s="7"/>
      <c r="P25" s="7"/>
      <c r="Q25" s="7"/>
      <c r="R25" s="7"/>
      <c r="S25" s="7"/>
    </row>
    <row r="26" spans="1:19" x14ac:dyDescent="0.3">
      <c r="A26" s="7"/>
      <c r="B26" s="7"/>
      <c r="C26" s="7"/>
      <c r="D26" s="7"/>
      <c r="E26" s="7"/>
      <c r="F26" s="7"/>
      <c r="G26" s="7"/>
      <c r="H26" s="7"/>
      <c r="I26" s="7"/>
      <c r="J26" s="7"/>
      <c r="K26" s="7"/>
      <c r="L26" s="7"/>
      <c r="M26" s="7"/>
      <c r="N26" s="7"/>
      <c r="O26" s="7"/>
      <c r="P26" s="7"/>
      <c r="Q26" s="7"/>
      <c r="R26" s="7"/>
      <c r="S26" s="7"/>
    </row>
    <row r="27" spans="1:19" x14ac:dyDescent="0.3">
      <c r="A27" s="7"/>
      <c r="B27" s="7"/>
      <c r="C27" s="7"/>
      <c r="D27" s="7"/>
      <c r="E27" s="7"/>
      <c r="F27" s="7"/>
      <c r="G27" s="7"/>
      <c r="H27" s="7"/>
      <c r="I27" s="7"/>
      <c r="J27" s="7"/>
      <c r="K27" s="7"/>
      <c r="L27" s="7"/>
      <c r="M27" s="7"/>
      <c r="N27" s="7"/>
      <c r="O27" s="7"/>
      <c r="P27" s="7"/>
      <c r="Q27" s="7"/>
      <c r="R27" s="7"/>
      <c r="S27" s="7"/>
    </row>
    <row r="28" spans="1:19" ht="16.8" x14ac:dyDescent="0.4">
      <c r="A28" s="7"/>
      <c r="B28" s="7"/>
      <c r="C28" s="7"/>
      <c r="D28" s="7"/>
      <c r="E28" s="7"/>
      <c r="F28" s="7"/>
      <c r="G28" s="7"/>
      <c r="H28" s="7"/>
      <c r="I28" s="7"/>
      <c r="J28" s="7"/>
      <c r="K28" s="7"/>
      <c r="L28" s="7"/>
      <c r="M28" s="7"/>
      <c r="N28" s="7"/>
      <c r="O28" s="7"/>
      <c r="P28" s="7"/>
      <c r="Q28" s="7"/>
      <c r="R28" s="7"/>
      <c r="S28" s="25"/>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F485D8A-A76C-456E-B862-766F4F7ECE0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vt:lpstr>
      <vt:lpstr>SLA Tracker</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Sakshi Gadewar</dc:creator>
  <cp:lastModifiedBy>Sakshi Gadewar</cp:lastModifiedBy>
  <dcterms:created xsi:type="dcterms:W3CDTF">2026-09-28T11:31:50Z</dcterms:created>
  <dcterms:modified xsi:type="dcterms:W3CDTF">2026-10-12T12:31:18Z</dcterms:modified>
</cp:coreProperties>
</file>